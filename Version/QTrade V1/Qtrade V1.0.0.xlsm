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zx\Desktop\File QTrade\QTrade V1.0.0\"/>
    </mc:Choice>
  </mc:AlternateContent>
  <xr:revisionPtr revIDLastSave="0" documentId="13_ncr:1_{90FE10D5-8EB7-4A6B-9EF4-F371EB988B0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USDT" sheetId="11" r:id="rId1"/>
    <sheet name="Profit" sheetId="17" r:id="rId2"/>
    <sheet name="GETPRICE" sheetId="12" state="hidden" r:id="rId3"/>
    <sheet name="Binance" sheetId="15" state="hidden" r:id="rId4"/>
    <sheet name="DATA" sheetId="16" state="hidden" r:id="rId5"/>
  </sheets>
  <functionGroups builtInGroupCount="19"/>
  <definedNames>
    <definedName name="_xlnm._FilterDatabase" localSheetId="2" hidden="1">GETPRICE!$A$3:$B$3</definedName>
    <definedName name="apikey_binance">Binance!$C$6</definedName>
    <definedName name="secretkey_binance">Binance!$C$7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11" l="1"/>
  <c r="D9" i="11" s="1"/>
  <c r="D13" i="11" l="1"/>
  <c r="I11" i="11" l="1"/>
  <c r="I9" i="11" s="1"/>
  <c r="G11" i="11"/>
  <c r="G9" i="11"/>
  <c r="B13" i="11" l="1"/>
  <c r="E25" i="15" l="1"/>
  <c r="F25" i="15"/>
  <c r="B11" i="11" l="1"/>
  <c r="B9" i="11"/>
  <c r="B7" i="11"/>
  <c r="B5" i="11"/>
  <c r="B3" i="11"/>
  <c r="H11" i="11" l="1"/>
  <c r="H9" i="11" s="1"/>
  <c r="F11" i="11"/>
  <c r="F9" i="11" s="1"/>
  <c r="D15" i="11" l="1"/>
  <c r="E11" i="11" s="1"/>
  <c r="E13" i="11" l="1"/>
  <c r="E9" i="11" s="1"/>
  <c r="E15" i="11" l="1"/>
</calcChain>
</file>

<file path=xl/sharedStrings.xml><?xml version="1.0" encoding="utf-8"?>
<sst xmlns="http://schemas.openxmlformats.org/spreadsheetml/2006/main" count="780" uniqueCount="300">
  <si>
    <t>BTC</t>
  </si>
  <si>
    <t>ETH</t>
  </si>
  <si>
    <t>USDT</t>
  </si>
  <si>
    <t>Market price</t>
  </si>
  <si>
    <t>BTC/USDT</t>
  </si>
  <si>
    <t>Balance</t>
  </si>
  <si>
    <t>ETH/BTC</t>
  </si>
  <si>
    <t>ETH/USDT</t>
  </si>
  <si>
    <t>BNB</t>
  </si>
  <si>
    <t>BNB/ETH</t>
  </si>
  <si>
    <t>BNB/BTC</t>
  </si>
  <si>
    <t>BNB/USDT</t>
  </si>
  <si>
    <t>Fee</t>
  </si>
  <si>
    <t>ETHBTC</t>
  </si>
  <si>
    <t>BNBBTC</t>
  </si>
  <si>
    <t>BNBETH</t>
  </si>
  <si>
    <t>BTCUSDT</t>
  </si>
  <si>
    <t>ETHUSDT</t>
  </si>
  <si>
    <t>BNBUSDT</t>
  </si>
  <si>
    <t>Coin</t>
  </si>
  <si>
    <t>Price</t>
  </si>
  <si>
    <t>XRP</t>
  </si>
  <si>
    <t>XRPBTC</t>
  </si>
  <si>
    <t>XRPETH</t>
  </si>
  <si>
    <t>XRPUSDT</t>
  </si>
  <si>
    <t>Binance</t>
  </si>
  <si>
    <t>Find the sample code in the sheet and the code the macro uses in ModExchBinance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</si>
  <si>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</si>
  <si>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apikey_binance</t>
  </si>
  <si>
    <t>secretkey_binance</t>
  </si>
  <si>
    <t>STEP 1: raw JSON data</t>
  </si>
  <si>
    <t>STEP 2: use the JsonToArray function to extract the data to a hierarchical structure</t>
  </si>
  <si>
    <t>NODE_LVL</t>
  </si>
  <si>
    <t>PARENT</t>
  </si>
  <si>
    <t>KEY</t>
  </si>
  <si>
    <t>VALUE</t>
  </si>
  <si>
    <t>TYPE</t>
  </si>
  <si>
    <t>MAIN</t>
  </si>
  <si>
    <t>VAL</t>
  </si>
  <si>
    <t>STEP 3: use the JsonToArray function to extract the data to a hierarchical structure</t>
  </si>
  <si>
    <t>Output after Tbl = ArrayTable(ResArr)</t>
  </si>
  <si>
    <t>Test: your timestamp</t>
  </si>
  <si>
    <t>Delta</t>
  </si>
  <si>
    <t>Your timestamp</t>
  </si>
  <si>
    <t>STEP 4: with code, extract the right info and put it in a table</t>
  </si>
  <si>
    <t>Balances</t>
  </si>
  <si>
    <t>GROUP_1</t>
  </si>
  <si>
    <t>GROUP_2</t>
  </si>
  <si>
    <t>asset</t>
  </si>
  <si>
    <t>free</t>
  </si>
  <si>
    <t>locked</t>
  </si>
  <si>
    <t>error_txt</t>
  </si>
  <si>
    <t>response_txt</t>
  </si>
  <si>
    <t>BUY</t>
  </si>
  <si>
    <t>SELL</t>
  </si>
  <si>
    <t>Amount</t>
  </si>
  <si>
    <t>Total</t>
  </si>
  <si>
    <t>Step1</t>
  </si>
  <si>
    <t>Step2</t>
  </si>
  <si>
    <t>The data necessary to complete this operation is not yet available.</t>
  </si>
  <si>
    <t>serverTime</t>
  </si>
  <si>
    <t>balances</t>
  </si>
  <si>
    <t>LTC</t>
  </si>
  <si>
    <t>NEO</t>
  </si>
  <si>
    <t>QTUM</t>
  </si>
  <si>
    <t>EOS</t>
  </si>
  <si>
    <t>SNT</t>
  </si>
  <si>
    <t>BNT</t>
  </si>
  <si>
    <t>GAS</t>
  </si>
  <si>
    <t>BCC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</si>
  <si>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</si>
  <si>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</si>
  <si>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</si>
  <si>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</si>
  <si>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</si>
  <si>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</si>
  <si>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</si>
  <si>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</si>
  <si>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</si>
  <si>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</si>
  <si>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</si>
  <si>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</si>
  <si>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</si>
  <si>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</si>
  <si>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</si>
  <si>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</si>
  <si>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</si>
  <si>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</si>
  <si>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</si>
  <si>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</si>
  <si>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</si>
  <si>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</si>
  <si>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</si>
  <si>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</si>
  <si>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</si>
  <si>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</si>
  <si>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</si>
  <si>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</si>
  <si>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</si>
  <si>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STX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</si>
  <si>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</si>
  <si>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</si>
  <si>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</si>
  <si>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</si>
  <si>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</si>
  <si>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</si>
  <si>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</si>
  <si>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</si>
  <si>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</si>
  <si>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</si>
  <si>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</si>
  <si>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</si>
  <si>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</si>
  <si>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</si>
  <si>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</si>
  <si>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</si>
  <si>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</si>
  <si>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</si>
  <si>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</si>
  <si>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</si>
  <si>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</si>
  <si>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</si>
  <si>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</si>
  <si>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</si>
  <si>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</si>
  <si>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</si>
  <si>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</si>
  <si>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</si>
  <si>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</si>
  <si>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</si>
  <si>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</si>
  <si>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</si>
  <si>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</si>
  <si>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</si>
  <si>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</si>
  <si>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</si>
  <si>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</si>
  <si>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</si>
  <si>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</si>
  <si>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</si>
  <si>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</si>
  <si>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</si>
  <si>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</si>
  <si>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</si>
  <si>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</si>
  <si>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</si>
  <si>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</si>
  <si>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</si>
  <si>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</si>
  <si>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</si>
  <si>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</si>
  <si>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</si>
  <si>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</si>
  <si>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</si>
  <si>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</si>
  <si>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</si>
  <si>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</si>
  <si>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</si>
  <si>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</si>
  <si>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</si>
  <si>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</si>
  <si>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</si>
  <si>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</si>
  <si>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</si>
  <si>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</si>
  <si>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</si>
  <si>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</si>
  <si>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</si>
  <si>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</si>
  <si>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</si>
  <si>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</si>
  <si>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</si>
  <si>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</si>
  <si>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</si>
  <si>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</si>
  <si>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</si>
  <si>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</si>
  <si>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</si>
  <si>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</si>
  <si>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</si>
  <si>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</si>
  <si>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</si>
  <si>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</si>
  <si>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</si>
  <si>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</si>
  <si>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</si>
  <si>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</si>
  <si>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</si>
  <si>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</si>
  <si>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</si>
  <si>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</si>
  <si>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</si>
  <si>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</si>
  <si>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</si>
  <si>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</si>
  <si>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</si>
  <si>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</si>
  <si>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</si>
  <si>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</si>
  <si>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</si>
  <si>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</si>
  <si>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</si>
  <si>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</si>
  <si>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</si>
  <si>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</si>
  <si>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</si>
  <si>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</si>
  <si>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</si>
  <si>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</si>
  <si>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</si>
  <si>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</si>
  <si>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</si>
  <si>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</si>
  <si>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</si>
  <si>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</si>
  <si>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</si>
  <si>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</si>
  <si>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</si>
  <si>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</si>
  <si>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</si>
  <si>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TFUEL</t>
  </si>
  <si>
    <t>CELR</t>
  </si>
  <si>
    <t>MATIC</t>
  </si>
  <si>
    <t>ATOM</t>
  </si>
  <si>
    <t>PHB</t>
  </si>
  <si>
    <t>ONE</t>
  </si>
  <si>
    <t>FTM</t>
  </si>
  <si>
    <t>BTCB</t>
  </si>
  <si>
    <t>USDSB</t>
  </si>
  <si>
    <t>CHZ</t>
  </si>
  <si>
    <t>COS</t>
  </si>
  <si>
    <t>ALGO</t>
  </si>
  <si>
    <t>ERD</t>
  </si>
  <si>
    <t>DOGE</t>
  </si>
  <si>
    <t>BGBP</t>
  </si>
  <si>
    <t>DUSK</t>
  </si>
  <si>
    <t>ANKR</t>
  </si>
  <si>
    <t>WIN</t>
  </si>
  <si>
    <t>TUSDB</t>
  </si>
  <si>
    <t>COCOS</t>
  </si>
  <si>
    <t>PERL</t>
  </si>
  <si>
    <t>TOMO</t>
  </si>
  <si>
    <t>BUSD</t>
  </si>
  <si>
    <t>BAND</t>
  </si>
  <si>
    <t>BEAM</t>
  </si>
  <si>
    <t>HBAR</t>
  </si>
  <si>
    <t>XTZ</t>
  </si>
  <si>
    <t>NGN</t>
  </si>
  <si>
    <t>NKN</t>
  </si>
  <si>
    <t>EUR</t>
  </si>
  <si>
    <t>KAVA</t>
  </si>
  <si>
    <t>RUB</t>
  </si>
  <si>
    <t>ARPA</t>
  </si>
  <si>
    <t>TRY</t>
  </si>
  <si>
    <t>CTXC</t>
  </si>
  <si>
    <t>BCH</t>
  </si>
  <si>
    <t>TROY</t>
  </si>
  <si>
    <t>VITE</t>
  </si>
  <si>
    <t>FTT</t>
  </si>
  <si>
    <t>OGN</t>
  </si>
  <si>
    <t>DREP</t>
  </si>
  <si>
    <t>BULL</t>
  </si>
  <si>
    <t>BEAR</t>
  </si>
  <si>
    <t>ETHBULL</t>
  </si>
  <si>
    <t>ETHBEAR</t>
  </si>
  <si>
    <t>XRPBULL</t>
  </si>
  <si>
    <t>XRPBEAR</t>
  </si>
  <si>
    <t>EOSBULL</t>
  </si>
  <si>
    <t>EOSBEAR</t>
  </si>
  <si>
    <t>TCT</t>
  </si>
  <si>
    <t>WRX</t>
  </si>
  <si>
    <t>LTO</t>
  </si>
  <si>
    <t>ZAR</t>
  </si>
  <si>
    <t>MBL</t>
  </si>
  <si>
    <t>COTI</t>
  </si>
  <si>
    <t>BKRW</t>
  </si>
  <si>
    <t>BNBBULL</t>
  </si>
  <si>
    <t>BNBBEAR</t>
  </si>
  <si>
    <t>STPT</t>
  </si>
  <si>
    <t>SOL</t>
  </si>
  <si>
    <t>IDRT</t>
  </si>
  <si>
    <t>CTSI</t>
  </si>
  <si>
    <t>TIME</t>
  </si>
  <si>
    <t>Date</t>
  </si>
  <si>
    <t>USER</t>
  </si>
  <si>
    <t>วันหมดอายุ</t>
  </si>
  <si>
    <t>HIVE</t>
  </si>
  <si>
    <t xml:space="preserve">Data </t>
  </si>
  <si>
    <t>*ห้ามเปลี่ยนแปลง*</t>
  </si>
  <si>
    <t>CHR</t>
  </si>
  <si>
    <t>BTCUP</t>
  </si>
  <si>
    <t>BTCDOWN</t>
  </si>
  <si>
    <t>0</t>
  </si>
  <si>
    <t>คำนวณ Profit</t>
  </si>
  <si>
    <t>START</t>
  </si>
  <si>
    <t>STOP</t>
  </si>
  <si>
    <t>กำไร</t>
  </si>
  <si>
    <t>DATE</t>
  </si>
  <si>
    <t>Profit %</t>
  </si>
  <si>
    <t>{"serverTime":1589884462734}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</si>
</sst>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.00000000_);_(* \(#,##0.00000000\);_(* &quot;-&quot;??_);_(@_)"/>
    <numFmt numFmtId="165" formatCode="0.00000000"/>
    <numFmt numFmtId="166" formatCode="_(* #,##0.0000000_);_(* \(#,##0.0000000\);_(* &quot;-&quot;??_);_(@_)"/>
    <numFmt numFmtId="167" formatCode="0.000000"/>
    <numFmt numFmtId="168" formatCode="_(* #,##0.000_);_(* \(#,##0.000\);_(* &quot;-&quot;??_);_(@_)"/>
    <numFmt numFmtId="169" formatCode="_(* #,##0.000_);_(* \(#,##0.000\);_(* &quot;-&quot;???_);_(@_)"/>
    <numFmt numFmtId="170" formatCode="_-* #,##0.000_-;\-* #,##0.000_-;_-* &quot;-&quot;???_-;_-@_-"/>
    <numFmt numFmtId="171" formatCode="00000000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Segoe UI"/>
      <family val="2"/>
    </font>
    <font>
      <sz val="8"/>
      <color theme="1"/>
      <name val="Segoe UI"/>
      <family val="2"/>
    </font>
    <font>
      <b/>
      <sz val="12"/>
      <color theme="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sz val="12"/>
      <color rgb="FFFF0000"/>
      <name val="Segoe UI"/>
      <family val="2"/>
    </font>
    <font>
      <sz val="9"/>
      <color theme="1"/>
      <name val="Tahoma"/>
      <family val="2"/>
    </font>
    <font>
      <b/>
      <sz val="14"/>
      <color theme="1"/>
      <name val="Tahoma"/>
      <family val="2"/>
    </font>
    <font>
      <b/>
      <sz val="9"/>
      <color theme="1"/>
      <name val="Tahoma"/>
      <family val="2"/>
    </font>
    <font>
      <b/>
      <i/>
      <sz val="12"/>
      <color theme="0"/>
      <name val="Segoe UI"/>
      <family val="2"/>
    </font>
    <font>
      <b/>
      <sz val="20"/>
      <color theme="0"/>
      <name val="Segoe UI"/>
      <family val="2"/>
    </font>
    <font>
      <b/>
      <sz val="16"/>
      <color theme="0"/>
      <name val="Segoe UI"/>
      <family val="2"/>
    </font>
    <font>
      <b/>
      <sz val="14"/>
      <color theme="0"/>
      <name val="Segoe UI"/>
      <family val="2"/>
    </font>
    <font>
      <b/>
      <sz val="18"/>
      <color theme="0"/>
      <name val="Segoe UI"/>
      <family val="2"/>
    </font>
    <font>
      <b/>
      <sz val="28"/>
      <color theme="0"/>
      <name val="TH SarabunIT๙"/>
      <family val="2"/>
    </font>
    <font>
      <b/>
      <sz val="24"/>
      <color theme="0"/>
      <name val="Segoe UI"/>
      <family val="2"/>
    </font>
    <font>
      <b/>
      <sz val="22"/>
      <color theme="0"/>
      <name val="Segoe UI"/>
      <family val="2"/>
    </font>
    <font>
      <b/>
      <sz val="13"/>
      <color theme="0"/>
      <name val="Segoe UI"/>
      <family val="2"/>
    </font>
    <font>
      <i/>
      <u/>
      <sz val="16"/>
      <color rgb="FF000000"/>
      <name val="Segoe UI"/>
      <family val="2"/>
    </font>
    <font>
      <b/>
      <sz val="26"/>
      <color theme="0"/>
      <name val="Quark"/>
      <family val="3"/>
    </font>
    <font>
      <b/>
      <sz val="12"/>
      <color theme="0"/>
      <name val="Quark"/>
      <family val="3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Fill="1"/>
    <xf numFmtId="169" fontId="2" fillId="0" borderId="0" xfId="0" applyNumberFormat="1" applyFont="1"/>
    <xf numFmtId="43" fontId="2" fillId="0" borderId="0" xfId="1" applyFont="1"/>
    <xf numFmtId="168" fontId="2" fillId="0" borderId="0" xfId="1" applyNumberFormat="1" applyFont="1"/>
    <xf numFmtId="165" fontId="2" fillId="0" borderId="0" xfId="0" applyNumberFormat="1" applyFont="1"/>
    <xf numFmtId="166" fontId="2" fillId="0" borderId="0" xfId="0" applyNumberFormat="1" applyFont="1"/>
    <xf numFmtId="164" fontId="2" fillId="0" borderId="0" xfId="1" applyNumberFormat="1" applyFont="1"/>
    <xf numFmtId="164" fontId="2" fillId="0" borderId="0" xfId="0" applyNumberFormat="1" applyFont="1"/>
    <xf numFmtId="165" fontId="0" fillId="0" borderId="0" xfId="0" applyNumberFormat="1"/>
    <xf numFmtId="0" fontId="9" fillId="0" borderId="0" xfId="0" applyFont="1"/>
    <xf numFmtId="0" fontId="10" fillId="0" borderId="0" xfId="0" applyFont="1"/>
    <xf numFmtId="0" fontId="9" fillId="0" borderId="0" xfId="0" quotePrefix="1" applyFont="1"/>
    <xf numFmtId="0" fontId="11" fillId="0" borderId="0" xfId="0" applyFont="1"/>
    <xf numFmtId="0" fontId="11" fillId="2" borderId="0" xfId="0" applyFont="1" applyFill="1"/>
    <xf numFmtId="0" fontId="11" fillId="3" borderId="0" xfId="0" quotePrefix="1" applyFont="1" applyFill="1"/>
    <xf numFmtId="0" fontId="9" fillId="3" borderId="0" xfId="0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9" fillId="0" borderId="4" xfId="0" applyFont="1" applyBorder="1"/>
    <xf numFmtId="0" fontId="9" fillId="0" borderId="5" xfId="0" applyFont="1" applyBorder="1"/>
    <xf numFmtId="1" fontId="9" fillId="0" borderId="5" xfId="0" applyNumberFormat="1" applyFont="1" applyBorder="1"/>
    <xf numFmtId="0" fontId="9" fillId="0" borderId="6" xfId="0" applyFont="1" applyBorder="1"/>
    <xf numFmtId="0" fontId="9" fillId="0" borderId="7" xfId="0" applyFont="1" applyBorder="1"/>
    <xf numFmtId="1" fontId="9" fillId="0" borderId="8" xfId="0" applyNumberFormat="1" applyFont="1" applyBorder="1"/>
    <xf numFmtId="1" fontId="9" fillId="0" borderId="4" xfId="0" applyNumberFormat="1" applyFont="1" applyBorder="1"/>
    <xf numFmtId="22" fontId="9" fillId="0" borderId="6" xfId="0" applyNumberFormat="1" applyFont="1" applyBorder="1"/>
    <xf numFmtId="0" fontId="7" fillId="4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43" fontId="2" fillId="0" borderId="0" xfId="0" applyNumberFormat="1" applyFont="1"/>
    <xf numFmtId="168" fontId="2" fillId="0" borderId="0" xfId="0" applyNumberFormat="1" applyFont="1" applyAlignment="1">
      <alignment horizontal="center"/>
    </xf>
    <xf numFmtId="0" fontId="7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10" fontId="2" fillId="0" borderId="0" xfId="0" applyNumberFormat="1" applyFont="1" applyAlignment="1">
      <alignment horizontal="right"/>
    </xf>
    <xf numFmtId="167" fontId="2" fillId="0" borderId="0" xfId="0" applyNumberFormat="1" applyFont="1"/>
    <xf numFmtId="168" fontId="2" fillId="0" borderId="0" xfId="0" applyNumberFormat="1" applyFont="1"/>
    <xf numFmtId="165" fontId="2" fillId="0" borderId="0" xfId="0" applyNumberFormat="1" applyFont="1" applyAlignment="1">
      <alignment horizontal="center"/>
    </xf>
    <xf numFmtId="170" fontId="2" fillId="0" borderId="0" xfId="0" applyNumberFormat="1" applyFont="1"/>
    <xf numFmtId="0" fontId="9" fillId="0" borderId="0" xfId="0" applyFont="1" applyAlignment="1">
      <alignment wrapText="1"/>
    </xf>
    <xf numFmtId="0" fontId="9" fillId="11" borderId="9" xfId="0" applyFont="1" applyFill="1" applyBorder="1"/>
    <xf numFmtId="0" fontId="9" fillId="0" borderId="9" xfId="0" applyFont="1" applyBorder="1"/>
    <xf numFmtId="0" fontId="9" fillId="11" borderId="10" xfId="0" applyFont="1" applyFill="1" applyBorder="1"/>
    <xf numFmtId="0" fontId="9" fillId="0" borderId="10" xfId="0" applyFont="1" applyBorder="1"/>
    <xf numFmtId="43" fontId="2" fillId="0" borderId="0" xfId="0" applyNumberFormat="1" applyFont="1" applyAlignment="1">
      <alignment horizontal="center"/>
    </xf>
    <xf numFmtId="168" fontId="12" fillId="9" borderId="0" xfId="0" applyNumberFormat="1" applyFont="1" applyFill="1"/>
    <xf numFmtId="14" fontId="0" fillId="0" borderId="0" xfId="0" applyNumberFormat="1"/>
    <xf numFmtId="19" fontId="0" fillId="0" borderId="0" xfId="0" applyNumberFormat="1"/>
    <xf numFmtId="0" fontId="0" fillId="0" borderId="0" xfId="0" applyNumberFormat="1"/>
    <xf numFmtId="21" fontId="0" fillId="0" borderId="0" xfId="0" applyNumberFormat="1"/>
    <xf numFmtId="167" fontId="2" fillId="0" borderId="0" xfId="0" applyNumberFormat="1" applyFont="1" applyAlignment="1">
      <alignment horizontal="center"/>
    </xf>
    <xf numFmtId="0" fontId="20" fillId="4" borderId="0" xfId="0" applyFont="1" applyFill="1" applyAlignment="1">
      <alignment vertical="center"/>
    </xf>
    <xf numFmtId="0" fontId="8" fillId="0" borderId="0" xfId="0" applyFont="1" applyFill="1"/>
    <xf numFmtId="0" fontId="15" fillId="4" borderId="0" xfId="0" applyFont="1" applyFill="1" applyAlignment="1">
      <alignment vertical="center"/>
    </xf>
    <xf numFmtId="0" fontId="2" fillId="6" borderId="0" xfId="0" applyFont="1" applyFill="1"/>
    <xf numFmtId="0" fontId="5" fillId="6" borderId="0" xfId="0" applyFont="1" applyFill="1"/>
    <xf numFmtId="0" fontId="6" fillId="6" borderId="0" xfId="0" applyFont="1" applyFill="1"/>
    <xf numFmtId="0" fontId="5" fillId="6" borderId="0" xfId="0" applyFont="1" applyFill="1" applyAlignment="1">
      <alignment horizontal="left"/>
    </xf>
    <xf numFmtId="0" fontId="23" fillId="6" borderId="0" xfId="0" applyFont="1" applyFill="1" applyAlignment="1">
      <alignment horizontal="center" vertical="center"/>
    </xf>
    <xf numFmtId="0" fontId="23" fillId="19" borderId="0" xfId="0" applyFont="1" applyFill="1" applyAlignment="1">
      <alignment horizontal="center" vertical="center"/>
    </xf>
    <xf numFmtId="0" fontId="23" fillId="20" borderId="0" xfId="0" applyFont="1" applyFill="1" applyAlignment="1">
      <alignment horizontal="center" vertical="center"/>
    </xf>
    <xf numFmtId="4" fontId="0" fillId="0" borderId="0" xfId="0" applyNumberFormat="1"/>
    <xf numFmtId="0" fontId="2" fillId="0" borderId="0" xfId="0" applyFont="1" applyAlignment="1">
      <alignment horizontal="center"/>
    </xf>
    <xf numFmtId="0" fontId="19" fillId="16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22" fillId="16" borderId="0" xfId="0" applyFont="1" applyFill="1" applyAlignment="1">
      <alignment horizontal="center" vertical="center"/>
    </xf>
    <xf numFmtId="0" fontId="23" fillId="17" borderId="0" xfId="0" applyFont="1" applyFill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3" fillId="18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/>
    </xf>
    <xf numFmtId="0" fontId="17" fillId="14" borderId="0" xfId="0" applyFont="1" applyFill="1" applyAlignment="1">
      <alignment horizontal="center"/>
    </xf>
    <xf numFmtId="14" fontId="16" fillId="13" borderId="0" xfId="0" applyNumberFormat="1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3" fillId="14" borderId="0" xfId="0" applyNumberFormat="1" applyFont="1" applyFill="1" applyAlignment="1">
      <alignment horizontal="center"/>
    </xf>
    <xf numFmtId="171" fontId="13" fillId="14" borderId="0" xfId="0" quotePrefix="1" applyNumberFormat="1" applyFont="1" applyFill="1" applyAlignment="1">
      <alignment horizontal="center"/>
    </xf>
    <xf numFmtId="171" fontId="13" fillId="14" borderId="0" xfId="0" applyNumberFormat="1" applyFont="1" applyFill="1" applyAlignment="1">
      <alignment horizontal="center"/>
    </xf>
    <xf numFmtId="14" fontId="14" fillId="12" borderId="0" xfId="0" applyNumberFormat="1" applyFont="1" applyFill="1" applyAlignment="1">
      <alignment horizontal="center"/>
    </xf>
    <xf numFmtId="0" fontId="14" fillId="12" borderId="0" xfId="0" applyFont="1" applyFill="1" applyAlignment="1">
      <alignment horizontal="center"/>
    </xf>
    <xf numFmtId="19" fontId="14" fillId="12" borderId="0" xfId="0" applyNumberFormat="1" applyFont="1" applyFill="1" applyAlignment="1">
      <alignment horizontal="center"/>
    </xf>
  </cellXfs>
  <cellStyles count="2">
    <cellStyle name="Comma" xfId="1" builtinId="3"/>
    <cellStyle name="Normal" xfId="0" builtinId="0"/>
  </cellStyles>
  <dxfs count="7"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</dxfs>
  <tableStyles count="0" defaultTableStyle="TableStyleMedium2" defaultPivotStyle="PivotStyleLight16"/>
  <colors>
    <mruColors>
      <color rgb="FF00CC66"/>
      <color rgb="FF6600FF"/>
      <color rgb="FF2DC8FF"/>
      <color rgb="FFFF9933"/>
      <color rgb="FF99FF99"/>
      <color rgb="FFFF0000"/>
      <color rgb="FFFF3300"/>
      <color rgb="FFFF9900"/>
      <color rgb="FFFF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18</xdr:row>
      <xdr:rowOff>12690</xdr:rowOff>
    </xdr:to>
    <xdr:sp macro="" textlink="">
      <xdr:nvSpPr>
        <xdr:cNvPr id="47" name="สี่เหลี่ยมผืนผ้า 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0" y="0"/>
          <a:ext cx="3848100" cy="4251315"/>
        </a:xfrm>
        <a:prstGeom prst="rect">
          <a:avLst/>
        </a:prstGeom>
        <a:solidFill>
          <a:srgbClr val="0066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181635</xdr:colOff>
      <xdr:row>3</xdr:row>
      <xdr:rowOff>238551</xdr:rowOff>
    </xdr:from>
    <xdr:to>
      <xdr:col>2</xdr:col>
      <xdr:colOff>955297</xdr:colOff>
      <xdr:row>13</xdr:row>
      <xdr:rowOff>77468</xdr:rowOff>
    </xdr:to>
    <xdr:sp macro="" textlink="">
      <xdr:nvSpPr>
        <xdr:cNvPr id="48" name="สี่เหลี่ยมผืนผ้ามุมมน 53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81635" y="977691"/>
          <a:ext cx="3608302" cy="2185877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0</xdr:col>
      <xdr:colOff>289890</xdr:colOff>
      <xdr:row>4</xdr:row>
      <xdr:rowOff>83592</xdr:rowOff>
    </xdr:from>
    <xdr:ext cx="2336590" cy="638123"/>
    <xdr:sp macro="" textlink="">
      <xdr:nvSpPr>
        <xdr:cNvPr id="49" name="สี่เหลี่ยมผืนผ้า 5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89890" y="1074192"/>
          <a:ext cx="2336590" cy="63812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th-TH" sz="3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ติดต่อสอบถาม</a:t>
          </a:r>
          <a:endParaRPr lang="th-TH" sz="3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oneCellAnchor>
    <xdr:from>
      <xdr:col>0</xdr:col>
      <xdr:colOff>581892</xdr:colOff>
      <xdr:row>6</xdr:row>
      <xdr:rowOff>122781</xdr:rowOff>
    </xdr:from>
    <xdr:ext cx="855033" cy="433452"/>
    <xdr:sp macro="" textlink="">
      <xdr:nvSpPr>
        <xdr:cNvPr id="50" name="สี่เหลี่ยมผืนผ้า 5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81892" y="1618206"/>
          <a:ext cx="855033" cy="43345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@Line</a:t>
          </a:r>
          <a:endParaRPr lang="th-TH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twoCellAnchor>
    <xdr:from>
      <xdr:col>0</xdr:col>
      <xdr:colOff>500273</xdr:colOff>
      <xdr:row>7</xdr:row>
      <xdr:rowOff>35516</xdr:rowOff>
    </xdr:from>
    <xdr:to>
      <xdr:col>0</xdr:col>
      <xdr:colOff>622334</xdr:colOff>
      <xdr:row>7</xdr:row>
      <xdr:rowOff>160884</xdr:rowOff>
    </xdr:to>
    <xdr:sp macro="" textlink="">
      <xdr:nvSpPr>
        <xdr:cNvPr id="51" name="วงรี 5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500273" y="1759541"/>
          <a:ext cx="122061" cy="125368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1</xdr:col>
      <xdr:colOff>1493738</xdr:colOff>
      <xdr:row>6</xdr:row>
      <xdr:rowOff>198869</xdr:rowOff>
    </xdr:from>
    <xdr:to>
      <xdr:col>2</xdr:col>
      <xdr:colOff>680381</xdr:colOff>
      <xdr:row>11</xdr:row>
      <xdr:rowOff>85726</xdr:rowOff>
    </xdr:to>
    <xdr:pic>
      <xdr:nvPicPr>
        <xdr:cNvPr id="52" name="รูปภาพ 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7663" y="1694294"/>
          <a:ext cx="1015443" cy="982232"/>
        </a:xfrm>
        <a:prstGeom prst="rect">
          <a:avLst/>
        </a:prstGeom>
      </xdr:spPr>
    </xdr:pic>
    <xdr:clientData/>
  </xdr:twoCellAnchor>
  <xdr:twoCellAnchor>
    <xdr:from>
      <xdr:col>0</xdr:col>
      <xdr:colOff>470456</xdr:colOff>
      <xdr:row>9</xdr:row>
      <xdr:rowOff>82013</xdr:rowOff>
    </xdr:from>
    <xdr:to>
      <xdr:col>0</xdr:col>
      <xdr:colOff>592517</xdr:colOff>
      <xdr:row>9</xdr:row>
      <xdr:rowOff>207381</xdr:rowOff>
    </xdr:to>
    <xdr:sp macro="" textlink="">
      <xdr:nvSpPr>
        <xdr:cNvPr id="53" name="วงรี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470456" y="2215613"/>
          <a:ext cx="122061" cy="125368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0</xdr:col>
      <xdr:colOff>601771</xdr:colOff>
      <xdr:row>8</xdr:row>
      <xdr:rowOff>186973</xdr:rowOff>
    </xdr:from>
    <xdr:ext cx="1996247" cy="433452"/>
    <xdr:sp macro="" textlink="">
      <xdr:nvSpPr>
        <xdr:cNvPr id="54" name="สี่เหลี่ยมผืนผ้า 14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601771" y="2101498"/>
          <a:ext cx="1996247" cy="43345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ID : @464swdya</a:t>
          </a:r>
          <a:endParaRPr lang="th-TH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twoCellAnchor>
    <xdr:from>
      <xdr:col>5</xdr:col>
      <xdr:colOff>10188</xdr:colOff>
      <xdr:row>0</xdr:row>
      <xdr:rowOff>0</xdr:rowOff>
    </xdr:from>
    <xdr:to>
      <xdr:col>48</xdr:col>
      <xdr:colOff>85725</xdr:colOff>
      <xdr:row>18</xdr:row>
      <xdr:rowOff>9525</xdr:rowOff>
    </xdr:to>
    <xdr:sp macro="" textlink="">
      <xdr:nvSpPr>
        <xdr:cNvPr id="55" name="สี่เหลี่ยมผืนผ้า 46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6496713" y="0"/>
          <a:ext cx="31603287" cy="4248150"/>
        </a:xfrm>
        <a:prstGeom prst="rect">
          <a:avLst/>
        </a:prstGeom>
        <a:solidFill>
          <a:srgbClr val="0066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5</xdr:col>
      <xdr:colOff>485759</xdr:colOff>
      <xdr:row>2</xdr:row>
      <xdr:rowOff>51066</xdr:rowOff>
    </xdr:from>
    <xdr:to>
      <xdr:col>8</xdr:col>
      <xdr:colOff>780341</xdr:colOff>
      <xdr:row>14</xdr:row>
      <xdr:rowOff>95250</xdr:rowOff>
    </xdr:to>
    <xdr:sp macro="" textlink="">
      <xdr:nvSpPr>
        <xdr:cNvPr id="56" name="สี่เหลี่ยมผืนผ้ามุมมน 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6972284" y="565416"/>
          <a:ext cx="4285557" cy="2873109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5</xdr:col>
      <xdr:colOff>773463</xdr:colOff>
      <xdr:row>2</xdr:row>
      <xdr:rowOff>218957</xdr:rowOff>
    </xdr:from>
    <xdr:ext cx="1329595" cy="649898"/>
    <xdr:sp macro="" textlink="">
      <xdr:nvSpPr>
        <xdr:cNvPr id="57" name="สี่เหลี่ยมผืนผ้า 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7259988" y="733307"/>
          <a:ext cx="1329595" cy="649898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th-TH" sz="3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วิธีใช้งาน</a:t>
          </a:r>
        </a:p>
      </xdr:txBody>
    </xdr:sp>
    <xdr:clientData/>
  </xdr:oneCellAnchor>
  <xdr:oneCellAnchor>
    <xdr:from>
      <xdr:col>5</xdr:col>
      <xdr:colOff>794681</xdr:colOff>
      <xdr:row>4</xdr:row>
      <xdr:rowOff>217962</xdr:rowOff>
    </xdr:from>
    <xdr:ext cx="4558369" cy="2106137"/>
    <xdr:sp macro="" textlink="">
      <xdr:nvSpPr>
        <xdr:cNvPr id="58" name="สี่เหลี่ยมผืนผ้า 4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281206" y="1208562"/>
          <a:ext cx="4558369" cy="210613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l"/>
          <a:r>
            <a:rPr lang="en-US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1. </a:t>
          </a:r>
          <a:r>
            <a:rPr lang="th-TH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คลิก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Open Qtrade</a:t>
          </a:r>
          <a:endParaRPr lang="th-TH" sz="2400" b="1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r>
            <a:rPr lang="en-US" sz="23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2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กรอก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Balance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Profit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ให้ครบ</a:t>
          </a:r>
          <a:endParaRPr lang="en-US" sz="2400" b="1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3.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กด 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Check Coins  </a:t>
          </a:r>
        </a:p>
        <a:p>
          <a:pPr algn="l"/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4.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กด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Get Price</a:t>
          </a:r>
          <a:endParaRPr lang="th-TH" sz="2400" b="1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5.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กด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Order</a:t>
          </a:r>
        </a:p>
      </xdr:txBody>
    </xdr:sp>
    <xdr:clientData/>
  </xdr:oneCellAnchor>
  <xdr:twoCellAnchor>
    <xdr:from>
      <xdr:col>33</xdr:col>
      <xdr:colOff>13321</xdr:colOff>
      <xdr:row>17</xdr:row>
      <xdr:rowOff>129541</xdr:rowOff>
    </xdr:from>
    <xdr:to>
      <xdr:col>37</xdr:col>
      <xdr:colOff>13322</xdr:colOff>
      <xdr:row>272</xdr:row>
      <xdr:rowOff>167639</xdr:rowOff>
    </xdr:to>
    <xdr:sp macro="" textlink="">
      <xdr:nvSpPr>
        <xdr:cNvPr id="59" name="สี่เหลี่ยมผืนผ้า 46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26873821" y="4149091"/>
          <a:ext cx="3524251" cy="58073923"/>
        </a:xfrm>
        <a:prstGeom prst="rect">
          <a:avLst/>
        </a:prstGeom>
        <a:solidFill>
          <a:srgbClr val="0066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9525</xdr:rowOff>
        </xdr:from>
        <xdr:to>
          <xdr:col>5</xdr:col>
          <xdr:colOff>9525</xdr:colOff>
          <xdr:row>17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US" sz="1600" b="0" i="1" u="sng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OPEN</a:t>
              </a:r>
            </a:p>
            <a:p>
              <a:pPr algn="ctr" rtl="0">
                <a:defRPr sz="1000"/>
              </a:pPr>
              <a:r>
                <a:rPr lang="en-US" sz="1600" b="0" i="1" u="sng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Qtrade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685799</xdr:colOff>
      <xdr:row>1</xdr:row>
      <xdr:rowOff>21723</xdr:rowOff>
    </xdr:from>
    <xdr:ext cx="1495425" cy="539187"/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533899" y="307473"/>
          <a:ext cx="1495425" cy="5391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w Cen MT" panose="020B0602020104020603" pitchFamily="34" charset="0"/>
              <a:cs typeface="Segoe UI" panose="020B0502040204020203" pitchFamily="34" charset="0"/>
            </a:rPr>
            <a:t>QTrade</a:t>
          </a:r>
        </a:p>
      </xdr:txBody>
    </xdr:sp>
    <xdr:clientData/>
  </xdr:oneCellAnchor>
  <xdr:oneCellAnchor>
    <xdr:from>
      <xdr:col>5</xdr:col>
      <xdr:colOff>985181</xdr:colOff>
      <xdr:row>14</xdr:row>
      <xdr:rowOff>113188</xdr:rowOff>
    </xdr:from>
    <xdr:ext cx="4558369" cy="448787"/>
    <xdr:sp macro="" textlink="">
      <xdr:nvSpPr>
        <xdr:cNvPr id="18" name="สี่เหลี่ยมผืนผ้า 4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471706" y="3456463"/>
          <a:ext cx="4558369" cy="44878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l"/>
          <a:r>
            <a:rPr lang="th-TH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ในกรณี </a:t>
          </a:r>
          <a:r>
            <a:rPr lang="en-US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Error</a:t>
          </a:r>
          <a:r>
            <a:rPr lang="th-TH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ให้กดปุ่ม </a:t>
          </a:r>
          <a:r>
            <a:rPr lang="en-US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Fix Error</a:t>
          </a:r>
          <a:endParaRPr lang="th-TH" sz="2200" b="1" cap="none" spc="0" baseline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r>
            <a:rPr lang="th-TH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endParaRPr lang="en-US" sz="2200" b="1" cap="none" spc="0" baseline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endParaRPr lang="en-US" sz="2200" b="1" cap="none" spc="0" baseline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oneCellAnchor>
    <xdr:from>
      <xdr:col>5</xdr:col>
      <xdr:colOff>985181</xdr:colOff>
      <xdr:row>15</xdr:row>
      <xdr:rowOff>179863</xdr:rowOff>
    </xdr:from>
    <xdr:ext cx="4558369" cy="448787"/>
    <xdr:sp macro="" textlink="">
      <xdr:nvSpPr>
        <xdr:cNvPr id="22" name="สี่เหลี่ยมผืนผ้า 4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471706" y="3751738"/>
          <a:ext cx="4558369" cy="44878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l"/>
          <a:r>
            <a:rPr lang="th-TH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ในกรณีมี </a:t>
          </a:r>
          <a:r>
            <a:rPr lang="en-US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Coins </a:t>
          </a:r>
          <a:r>
            <a:rPr lang="th-TH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ไม่พอ </a:t>
          </a:r>
          <a:r>
            <a:rPr lang="en-US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Order </a:t>
          </a:r>
          <a:r>
            <a:rPr lang="th-TH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จะไม่ออกให้</a:t>
          </a:r>
        </a:p>
        <a:p>
          <a:pPr algn="l"/>
          <a:r>
            <a:rPr lang="th-TH" sz="2200" b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endParaRPr lang="en-US" sz="2200" b="1" cap="none" spc="0" baseline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endParaRPr lang="en-US" sz="2200" b="1" cap="none" spc="0" baseline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twoCellAnchor>
    <xdr:from>
      <xdr:col>5</xdr:col>
      <xdr:colOff>880031</xdr:colOff>
      <xdr:row>15</xdr:row>
      <xdr:rowOff>53438</xdr:rowOff>
    </xdr:from>
    <xdr:to>
      <xdr:col>5</xdr:col>
      <xdr:colOff>1002092</xdr:colOff>
      <xdr:row>15</xdr:row>
      <xdr:rowOff>178806</xdr:rowOff>
    </xdr:to>
    <xdr:sp macro="" textlink="">
      <xdr:nvSpPr>
        <xdr:cNvPr id="23" name="วงรี 1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7366556" y="3625313"/>
          <a:ext cx="122061" cy="125368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5</xdr:col>
      <xdr:colOff>889556</xdr:colOff>
      <xdr:row>16</xdr:row>
      <xdr:rowOff>110588</xdr:rowOff>
    </xdr:from>
    <xdr:to>
      <xdr:col>5</xdr:col>
      <xdr:colOff>1011617</xdr:colOff>
      <xdr:row>17</xdr:row>
      <xdr:rowOff>16881</xdr:rowOff>
    </xdr:to>
    <xdr:sp macro="" textlink="">
      <xdr:nvSpPr>
        <xdr:cNvPr id="24" name="วงรี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376081" y="3911063"/>
          <a:ext cx="122061" cy="125368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3</xdr:col>
      <xdr:colOff>161923</xdr:colOff>
      <xdr:row>0</xdr:row>
      <xdr:rowOff>212672</xdr:rowOff>
    </xdr:from>
    <xdr:to>
      <xdr:col>3</xdr:col>
      <xdr:colOff>809625</xdr:colOff>
      <xdr:row>3</xdr:row>
      <xdr:rowOff>190499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543" t="18549" r="32152" b="32350"/>
        <a:stretch/>
      </xdr:blipFill>
      <xdr:spPr>
        <a:xfrm>
          <a:off x="4010023" y="212672"/>
          <a:ext cx="647702" cy="7207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209550</xdr:rowOff>
    </xdr:from>
    <xdr:to>
      <xdr:col>10</xdr:col>
      <xdr:colOff>0</xdr:colOff>
      <xdr:row>6</xdr:row>
      <xdr:rowOff>0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572500" y="209550"/>
          <a:ext cx="0" cy="10287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_Binance_Balances" displayName="Tbl_Binance_Balances" ref="B31:F261" totalsRowShown="0" headerRowDxfId="6" dataDxfId="5">
  <autoFilter ref="B31:F261" xr:uid="{00000000-0009-0000-0100-000002000000}"/>
  <tableColumns count="5">
    <tableColumn id="1" xr3:uid="{00000000-0010-0000-0000-000001000000}" name="GROUP_1" dataDxfId="4"/>
    <tableColumn id="2" xr3:uid="{00000000-0010-0000-0000-000002000000}" name="GROUP_2" dataDxfId="3"/>
    <tableColumn id="3" xr3:uid="{00000000-0010-0000-0000-000003000000}" name="asset" dataDxfId="2"/>
    <tableColumn id="4" xr3:uid="{00000000-0010-0000-0000-000004000000}" name="free" dataDxfId="1"/>
    <tableColumn id="5" xr3:uid="{00000000-0010-0000-0000-000005000000}" name="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6600FF"/>
  </sheetPr>
  <dimension ref="A1:AQ273"/>
  <sheetViews>
    <sheetView tabSelected="1" zoomScaleNormal="100" workbookViewId="0">
      <selection activeCell="E20" sqref="E20"/>
    </sheetView>
  </sheetViews>
  <sheetFormatPr defaultColWidth="8.85546875" defaultRowHeight="18" customHeight="1"/>
  <cols>
    <col min="1" max="1" width="13.85546875" style="1" customWidth="1"/>
    <col min="2" max="2" width="27.42578125" style="1" customWidth="1"/>
    <col min="3" max="3" width="16.42578125" style="1" bestFit="1" customWidth="1"/>
    <col min="4" max="4" width="20.42578125" style="1" customWidth="1"/>
    <col min="5" max="5" width="19.140625" style="1" customWidth="1"/>
    <col min="6" max="6" width="20.7109375" style="1" customWidth="1"/>
    <col min="7" max="7" width="18.5703125" style="1" customWidth="1"/>
    <col min="8" max="8" width="20.5703125" style="1" customWidth="1"/>
    <col min="9" max="9" width="19" style="1" customWidth="1"/>
    <col min="10" max="10" width="10.42578125" style="1" bestFit="1" customWidth="1"/>
    <col min="11" max="16" width="8.85546875" style="1"/>
    <col min="17" max="17" width="10.42578125" style="1" customWidth="1"/>
    <col min="18" max="18" width="11.140625" style="1" bestFit="1" customWidth="1"/>
    <col min="19" max="19" width="11.140625" style="1" customWidth="1"/>
    <col min="20" max="20" width="11.140625" style="1" bestFit="1" customWidth="1"/>
    <col min="21" max="22" width="10.42578125" style="1" customWidth="1"/>
    <col min="23" max="31" width="8.85546875" style="1"/>
    <col min="32" max="32" width="9.85546875" style="1" customWidth="1"/>
    <col min="33" max="33" width="8.85546875" style="57"/>
    <col min="34" max="34" width="10.42578125" style="1" bestFit="1" customWidth="1"/>
    <col min="35" max="35" width="15.42578125" style="1" customWidth="1"/>
    <col min="36" max="36" width="12" style="1" customWidth="1"/>
    <col min="37" max="37" width="15" style="1" bestFit="1" customWidth="1"/>
    <col min="38" max="38" width="15.42578125" style="1" bestFit="1" customWidth="1"/>
    <col min="39" max="39" width="14.42578125" style="1" customWidth="1"/>
    <col min="40" max="40" width="13.7109375" style="1" bestFit="1" customWidth="1"/>
    <col min="41" max="16384" width="8.85546875" style="1"/>
  </cols>
  <sheetData>
    <row r="1" spans="1:43" ht="22.5" customHeight="1">
      <c r="A1" s="58" t="s">
        <v>5</v>
      </c>
      <c r="D1" s="70"/>
      <c r="E1" s="70"/>
      <c r="AG1" s="68" t="s">
        <v>287</v>
      </c>
      <c r="AH1" s="68"/>
      <c r="AI1" s="18"/>
    </row>
    <row r="2" spans="1:43" ht="18" customHeight="1">
      <c r="A2" s="59"/>
      <c r="B2" s="4" t="s">
        <v>3</v>
      </c>
      <c r="C2" s="2"/>
      <c r="D2" s="70"/>
      <c r="E2" s="70"/>
      <c r="AG2" s="56" t="s">
        <v>288</v>
      </c>
      <c r="AH2" s="56"/>
      <c r="AI2" s="18"/>
    </row>
    <row r="3" spans="1:43" ht="18" customHeight="1">
      <c r="A3" s="60" t="s">
        <v>0</v>
      </c>
      <c r="B3" s="11">
        <f>VLOOKUP("BTCUSDT",GETPRICE!A4:B11,2,)</f>
        <v>9777.06</v>
      </c>
      <c r="C3" s="3" t="s">
        <v>4</v>
      </c>
      <c r="D3" s="70"/>
      <c r="E3" s="70"/>
    </row>
    <row r="4" spans="1:43" ht="19.5" customHeight="1">
      <c r="A4" s="61"/>
      <c r="B4" s="12"/>
      <c r="D4" s="70"/>
      <c r="E4" s="70"/>
      <c r="AI4" s="2"/>
      <c r="AJ4" s="2"/>
      <c r="AK4" s="2"/>
      <c r="AL4" s="2"/>
      <c r="AM4" s="2"/>
      <c r="AN4" s="2"/>
      <c r="AP4" s="67"/>
      <c r="AQ4" s="67"/>
    </row>
    <row r="5" spans="1:43" ht="17.25">
      <c r="A5" s="60" t="s">
        <v>1</v>
      </c>
      <c r="B5" s="11">
        <f>VLOOKUP("ETHUSDT",GETPRICE!A4:B11,2,)</f>
        <v>213.69</v>
      </c>
      <c r="C5" s="3" t="s">
        <v>7</v>
      </c>
      <c r="D5" s="36" t="s">
        <v>57</v>
      </c>
      <c r="E5" s="36" t="s">
        <v>58</v>
      </c>
      <c r="AI5" s="9"/>
      <c r="AJ5" s="41"/>
      <c r="AK5" s="9"/>
      <c r="AL5" s="41"/>
      <c r="AM5" s="9"/>
      <c r="AN5" s="34"/>
    </row>
    <row r="6" spans="1:43" ht="22.5" customHeight="1">
      <c r="A6" s="61"/>
      <c r="B6" s="12"/>
      <c r="D6" s="39">
        <v>0</v>
      </c>
      <c r="E6" s="39">
        <v>0</v>
      </c>
      <c r="F6" s="1">
        <v>0</v>
      </c>
      <c r="G6" s="1">
        <v>0</v>
      </c>
      <c r="AI6" s="9"/>
      <c r="AJ6" s="43"/>
      <c r="AK6" s="2"/>
      <c r="AL6" s="2"/>
      <c r="AM6" s="2"/>
      <c r="AN6" s="2"/>
      <c r="AP6" s="67"/>
      <c r="AQ6" s="67"/>
    </row>
    <row r="7" spans="1:43" ht="18" customHeight="1">
      <c r="A7" s="62" t="s">
        <v>8</v>
      </c>
      <c r="B7" s="11">
        <f>VLOOKUP("BNBUSDT",GETPRICE!A4:B11,2,)</f>
        <v>16.767499999999998</v>
      </c>
      <c r="C7" s="3" t="s">
        <v>11</v>
      </c>
      <c r="D7" s="69" t="s">
        <v>16</v>
      </c>
      <c r="E7" s="69"/>
      <c r="AI7" s="9"/>
      <c r="AJ7" s="43"/>
      <c r="AK7" s="9"/>
      <c r="AL7" s="43"/>
      <c r="AM7" s="6"/>
      <c r="AN7" s="9"/>
    </row>
    <row r="8" spans="1:43" ht="15.6" customHeight="1">
      <c r="A8" s="61"/>
      <c r="B8" s="12"/>
      <c r="D8" s="33" t="s">
        <v>53</v>
      </c>
      <c r="E8" s="32" t="s">
        <v>54</v>
      </c>
      <c r="AI8" s="9"/>
      <c r="AJ8" s="43"/>
      <c r="AK8" s="2"/>
      <c r="AL8" s="2"/>
      <c r="AM8" s="2"/>
      <c r="AN8" s="2"/>
    </row>
    <row r="9" spans="1:43" ht="17.25" customHeight="1">
      <c r="A9" s="62" t="s">
        <v>8</v>
      </c>
      <c r="B9" s="11">
        <f>VLOOKUP("BNBETH",GETPRICE!A4:B11,2,)</f>
        <v>7.8414999999999999E-2</v>
      </c>
      <c r="C9" s="3" t="s">
        <v>9</v>
      </c>
      <c r="D9" s="34">
        <f>D13/D11</f>
        <v>9777.06</v>
      </c>
      <c r="E9" s="7">
        <f>E13/E11</f>
        <v>9777.06</v>
      </c>
      <c r="F9" s="1">
        <f t="shared" ref="F9:I9" si="0">F13/F11</f>
        <v>0</v>
      </c>
      <c r="G9" s="1" t="e">
        <f t="shared" si="0"/>
        <v>#DIV/0!</v>
      </c>
      <c r="H9" s="1">
        <f t="shared" si="0"/>
        <v>0</v>
      </c>
      <c r="I9" s="1" t="e">
        <f t="shared" si="0"/>
        <v>#DIV/0!</v>
      </c>
      <c r="AI9" s="9"/>
      <c r="AJ9" s="43"/>
      <c r="AK9" s="43"/>
      <c r="AL9" s="9"/>
      <c r="AM9" s="10"/>
      <c r="AN9" s="9"/>
    </row>
    <row r="10" spans="1:43" ht="18" customHeight="1">
      <c r="A10" s="61"/>
      <c r="B10" s="12"/>
      <c r="D10" s="36" t="s">
        <v>55</v>
      </c>
      <c r="E10" s="36" t="s">
        <v>55</v>
      </c>
      <c r="AI10" s="9"/>
      <c r="AJ10" s="43"/>
      <c r="AK10" s="2"/>
      <c r="AL10" s="2"/>
      <c r="AM10" s="2"/>
      <c r="AN10" s="2"/>
    </row>
    <row r="11" spans="1:43" ht="18" customHeight="1">
      <c r="A11" s="60" t="s">
        <v>1</v>
      </c>
      <c r="B11" s="11">
        <f>VLOOKUP("ETHBTC",GETPRICE!A4:B11,2,)</f>
        <v>2.1853000000000001E-2</v>
      </c>
      <c r="C11" s="3" t="s">
        <v>6</v>
      </c>
      <c r="D11" s="55">
        <f>(B16/B$3)+(B16/B$3*D6)</f>
        <v>5.1140117785919287E-3</v>
      </c>
      <c r="E11" s="55">
        <f>D15</f>
        <v>5.1088977668133371E-3</v>
      </c>
      <c r="F11" s="1">
        <f>(B16/B$3)+(B16/B$3*F6)</f>
        <v>5.1140117785919287E-3</v>
      </c>
      <c r="G11" s="1">
        <f>F15</f>
        <v>0</v>
      </c>
      <c r="H11" s="1">
        <f>(B16/B$3)+(B16/B$3*H6)</f>
        <v>5.1140117785919287E-3</v>
      </c>
      <c r="I11" s="1">
        <f>H15</f>
        <v>0</v>
      </c>
      <c r="AI11" s="9"/>
      <c r="AJ11" s="43"/>
      <c r="AK11" s="42"/>
      <c r="AL11" s="49"/>
      <c r="AM11" s="9"/>
      <c r="AN11" s="34"/>
    </row>
    <row r="12" spans="1:43" ht="20.25" customHeight="1">
      <c r="A12" s="59"/>
      <c r="B12" s="12"/>
      <c r="D12" s="38" t="s">
        <v>56</v>
      </c>
      <c r="E12" s="38" t="s">
        <v>56</v>
      </c>
      <c r="AI12" s="9"/>
      <c r="AJ12" s="43"/>
      <c r="AK12" s="2"/>
      <c r="AL12" s="2"/>
      <c r="AM12" s="2"/>
      <c r="AN12" s="2"/>
    </row>
    <row r="13" spans="1:43" ht="18" customHeight="1">
      <c r="A13" s="62" t="s">
        <v>8</v>
      </c>
      <c r="B13" s="11">
        <f>VLOOKUP("BNBBTC",GETPRICE!A4:B11,2,)</f>
        <v>1.7152999999999999E-3</v>
      </c>
      <c r="C13" s="3" t="s">
        <v>10</v>
      </c>
      <c r="D13" s="35">
        <f>B16</f>
        <v>50</v>
      </c>
      <c r="E13" s="35">
        <f>(E11*B$3)+(E11*B$3*E6)</f>
        <v>49.95</v>
      </c>
      <c r="AI13" s="9"/>
      <c r="AJ13" s="43"/>
      <c r="AK13" s="43"/>
      <c r="AL13" s="9"/>
      <c r="AM13" s="34"/>
      <c r="AN13" s="9"/>
    </row>
    <row r="14" spans="1:43" ht="21" customHeight="1">
      <c r="A14" s="12"/>
      <c r="B14" s="12"/>
      <c r="D14" s="37" t="s">
        <v>12</v>
      </c>
      <c r="E14" s="37" t="s">
        <v>12</v>
      </c>
      <c r="AI14" s="9"/>
      <c r="AJ14" s="43"/>
      <c r="AK14" s="2"/>
      <c r="AL14" s="2"/>
    </row>
    <row r="15" spans="1:43" ht="18" customHeight="1">
      <c r="A15" s="12"/>
      <c r="B15" s="12"/>
      <c r="D15" s="42">
        <f>D11-(D11*0.1%)</f>
        <v>5.1088977668133371E-3</v>
      </c>
      <c r="E15" s="50">
        <f>E13-(E13*0.1%)</f>
        <v>49.90005</v>
      </c>
      <c r="AK15" s="9"/>
      <c r="AL15" s="41"/>
    </row>
    <row r="16" spans="1:43" ht="18" customHeight="1">
      <c r="A16" s="60" t="s">
        <v>5</v>
      </c>
      <c r="B16" s="8">
        <v>50</v>
      </c>
    </row>
    <row r="17" spans="1:33" ht="17.25">
      <c r="A17" s="12"/>
      <c r="B17" s="34"/>
    </row>
    <row r="18" spans="1:33" ht="17.25">
      <c r="A18" s="12"/>
    </row>
    <row r="19" spans="1:33" ht="17.25">
      <c r="AG19" s="5"/>
    </row>
    <row r="20" spans="1:33" ht="17.25">
      <c r="AG20" s="5"/>
    </row>
    <row r="21" spans="1:33" ht="17.25">
      <c r="AG21" s="5"/>
    </row>
    <row r="22" spans="1:33" ht="17.25">
      <c r="AG22" s="5"/>
    </row>
    <row r="23" spans="1:33" ht="17.25">
      <c r="AG23" s="5"/>
    </row>
    <row r="24" spans="1:33" ht="17.25">
      <c r="AG24" s="5"/>
    </row>
    <row r="25" spans="1:33" ht="17.25">
      <c r="AG25" s="5"/>
    </row>
    <row r="26" spans="1:33" ht="17.25">
      <c r="AG26" s="5"/>
    </row>
    <row r="27" spans="1:33" ht="17.25">
      <c r="AG27" s="5"/>
    </row>
    <row r="28" spans="1:33" ht="17.25">
      <c r="AG28" s="5"/>
    </row>
    <row r="29" spans="1:33" ht="17.25">
      <c r="AG29" s="5"/>
    </row>
    <row r="30" spans="1:33" ht="17.25">
      <c r="AG30" s="5"/>
    </row>
    <row r="31" spans="1:33" ht="17.25">
      <c r="AG31" s="5"/>
    </row>
    <row r="32" spans="1:33" ht="17.25">
      <c r="AG32" s="5"/>
    </row>
    <row r="33" spans="33:33" ht="17.25">
      <c r="AG33" s="5"/>
    </row>
    <row r="34" spans="33:33" ht="17.25">
      <c r="AG34" s="5"/>
    </row>
    <row r="35" spans="33:33" ht="17.25">
      <c r="AG35" s="5"/>
    </row>
    <row r="36" spans="33:33" ht="17.25">
      <c r="AG36" s="5"/>
    </row>
    <row r="37" spans="33:33" ht="17.25">
      <c r="AG37" s="5"/>
    </row>
    <row r="38" spans="33:33" ht="17.25">
      <c r="AG38" s="5"/>
    </row>
    <row r="39" spans="33:33" ht="17.25">
      <c r="AG39" s="5"/>
    </row>
    <row r="40" spans="33:33" ht="17.25">
      <c r="AG40" s="5"/>
    </row>
    <row r="41" spans="33:33" ht="17.25">
      <c r="AG41" s="5"/>
    </row>
    <row r="42" spans="33:33" ht="17.25">
      <c r="AG42" s="5"/>
    </row>
    <row r="43" spans="33:33" ht="17.25">
      <c r="AG43" s="5"/>
    </row>
    <row r="44" spans="33:33" ht="17.25">
      <c r="AG44" s="5"/>
    </row>
    <row r="45" spans="33:33" ht="17.25">
      <c r="AG45" s="5"/>
    </row>
    <row r="46" spans="33:33" ht="17.25">
      <c r="AG46" s="5"/>
    </row>
    <row r="47" spans="33:33" ht="17.25">
      <c r="AG47" s="5"/>
    </row>
    <row r="48" spans="33:33" ht="17.25">
      <c r="AG48" s="5"/>
    </row>
    <row r="49" spans="32:37" ht="17.25">
      <c r="AG49" s="5"/>
    </row>
    <row r="50" spans="32:37" ht="20.25" customHeight="1">
      <c r="AF50" s="40"/>
      <c r="AG50" s="5"/>
    </row>
    <row r="51" spans="32:37" ht="18" customHeight="1">
      <c r="AF51" s="40"/>
      <c r="AG51" s="5"/>
      <c r="AI51" s="45" t="s">
        <v>0</v>
      </c>
      <c r="AJ51" s="45">
        <v>3.1798999999999998E-4</v>
      </c>
      <c r="AK51" s="47">
        <v>0</v>
      </c>
    </row>
    <row r="52" spans="32:37" ht="18" customHeight="1">
      <c r="AG52" s="5"/>
      <c r="AI52" s="46" t="s">
        <v>62</v>
      </c>
      <c r="AJ52" s="46">
        <v>0</v>
      </c>
      <c r="AK52" s="48">
        <v>0</v>
      </c>
    </row>
    <row r="53" spans="32:37" ht="18" customHeight="1">
      <c r="AG53" s="5"/>
      <c r="AI53" s="45" t="s">
        <v>1</v>
      </c>
      <c r="AJ53" s="45">
        <v>0</v>
      </c>
      <c r="AK53" s="47">
        <v>0</v>
      </c>
    </row>
    <row r="54" spans="32:37" ht="18" customHeight="1">
      <c r="AG54" s="5"/>
      <c r="AI54" s="46" t="s">
        <v>63</v>
      </c>
      <c r="AJ54" s="46">
        <v>0</v>
      </c>
      <c r="AK54" s="48">
        <v>0</v>
      </c>
    </row>
    <row r="55" spans="32:37" ht="18" customHeight="1">
      <c r="AG55" s="5"/>
      <c r="AI55" s="45" t="s">
        <v>8</v>
      </c>
      <c r="AJ55" s="45">
        <v>0.40403941999999998</v>
      </c>
      <c r="AK55" s="47">
        <v>0</v>
      </c>
    </row>
    <row r="56" spans="32:37" ht="18" customHeight="1">
      <c r="AG56" s="5"/>
      <c r="AI56" s="46" t="s">
        <v>64</v>
      </c>
      <c r="AJ56" s="46">
        <v>0</v>
      </c>
      <c r="AK56" s="48">
        <v>0</v>
      </c>
    </row>
    <row r="57" spans="32:37" ht="18" customHeight="1">
      <c r="AG57" s="5"/>
      <c r="AI57" s="45" t="s">
        <v>65</v>
      </c>
      <c r="AJ57" s="45">
        <v>0</v>
      </c>
      <c r="AK57" s="47">
        <v>0</v>
      </c>
    </row>
    <row r="58" spans="32:37" ht="18" customHeight="1">
      <c r="AG58" s="5"/>
      <c r="AI58" s="46" t="s">
        <v>66</v>
      </c>
      <c r="AJ58" s="46">
        <v>0</v>
      </c>
      <c r="AK58" s="48">
        <v>0</v>
      </c>
    </row>
    <row r="59" spans="32:37" ht="18" customHeight="1">
      <c r="AG59" s="5"/>
      <c r="AI59" s="45" t="s">
        <v>67</v>
      </c>
      <c r="AJ59" s="45">
        <v>0</v>
      </c>
      <c r="AK59" s="47">
        <v>0</v>
      </c>
    </row>
    <row r="60" spans="32:37" ht="18" customHeight="1">
      <c r="AG60" s="5"/>
      <c r="AI60" s="46" t="s">
        <v>68</v>
      </c>
      <c r="AJ60" s="46">
        <v>0</v>
      </c>
      <c r="AK60" s="48">
        <v>0</v>
      </c>
    </row>
    <row r="61" spans="32:37" ht="18" customHeight="1">
      <c r="AG61" s="5"/>
      <c r="AI61" s="45" t="s">
        <v>69</v>
      </c>
      <c r="AJ61" s="45">
        <v>0</v>
      </c>
      <c r="AK61" s="47">
        <v>0</v>
      </c>
    </row>
    <row r="62" spans="32:37" ht="18" customHeight="1">
      <c r="AG62" s="5"/>
      <c r="AI62" s="46" t="s">
        <v>2</v>
      </c>
      <c r="AJ62" s="46">
        <v>409.58618226999999</v>
      </c>
      <c r="AK62" s="48">
        <v>100.00000513000001</v>
      </c>
    </row>
    <row r="63" spans="32:37" ht="18" customHeight="1">
      <c r="AG63" s="5"/>
      <c r="AI63" s="45" t="s">
        <v>70</v>
      </c>
      <c r="AJ63" s="45">
        <v>0</v>
      </c>
      <c r="AK63" s="47">
        <v>0</v>
      </c>
    </row>
    <row r="64" spans="32:37" ht="18" customHeight="1">
      <c r="AG64" s="5"/>
      <c r="AI64" s="46" t="s">
        <v>71</v>
      </c>
      <c r="AJ64" s="46">
        <v>0</v>
      </c>
      <c r="AK64" s="48">
        <v>0</v>
      </c>
    </row>
    <row r="65" spans="33:37" ht="18" customHeight="1">
      <c r="AG65" s="5"/>
      <c r="AI65" s="45" t="s">
        <v>72</v>
      </c>
      <c r="AJ65" s="45">
        <v>0</v>
      </c>
      <c r="AK65" s="47">
        <v>0</v>
      </c>
    </row>
    <row r="66" spans="33:37" ht="18" customHeight="1">
      <c r="AG66" s="5"/>
      <c r="AI66" s="46" t="s">
        <v>73</v>
      </c>
      <c r="AJ66" s="46">
        <v>0</v>
      </c>
      <c r="AK66" s="48">
        <v>0</v>
      </c>
    </row>
    <row r="67" spans="33:37" ht="18" customHeight="1">
      <c r="AG67" s="5"/>
      <c r="AI67" s="45" t="s">
        <v>74</v>
      </c>
      <c r="AJ67" s="45">
        <v>0</v>
      </c>
      <c r="AK67" s="47">
        <v>0</v>
      </c>
    </row>
    <row r="68" spans="33:37" ht="18" customHeight="1">
      <c r="AG68" s="5"/>
      <c r="AI68" s="46" t="s">
        <v>75</v>
      </c>
      <c r="AJ68" s="46">
        <v>0</v>
      </c>
      <c r="AK68" s="48">
        <v>0</v>
      </c>
    </row>
    <row r="69" spans="33:37" ht="18" customHeight="1">
      <c r="AG69" s="5"/>
      <c r="AI69" s="45" t="s">
        <v>76</v>
      </c>
      <c r="AJ69" s="45">
        <v>0</v>
      </c>
      <c r="AK69" s="47">
        <v>0</v>
      </c>
    </row>
    <row r="70" spans="33:37" ht="15" customHeight="1">
      <c r="AG70" s="5"/>
      <c r="AI70" s="46" t="s">
        <v>77</v>
      </c>
      <c r="AJ70" s="46">
        <v>0</v>
      </c>
      <c r="AK70" s="48">
        <v>0</v>
      </c>
    </row>
    <row r="71" spans="33:37" ht="15" customHeight="1">
      <c r="AG71" s="5"/>
      <c r="AI71" s="45" t="s">
        <v>78</v>
      </c>
      <c r="AJ71" s="45">
        <v>0</v>
      </c>
      <c r="AK71" s="47">
        <v>0</v>
      </c>
    </row>
    <row r="72" spans="33:37" ht="15" customHeight="1">
      <c r="AG72" s="5"/>
      <c r="AI72" s="46" t="s">
        <v>79</v>
      </c>
      <c r="AJ72" s="46">
        <v>0</v>
      </c>
      <c r="AK72" s="48">
        <v>0</v>
      </c>
    </row>
    <row r="73" spans="33:37" ht="15" customHeight="1">
      <c r="AG73" s="5"/>
      <c r="AI73" s="45" t="s">
        <v>80</v>
      </c>
      <c r="AJ73" s="45">
        <v>0</v>
      </c>
      <c r="AK73" s="47">
        <v>0</v>
      </c>
    </row>
    <row r="74" spans="33:37" ht="15" customHeight="1">
      <c r="AG74" s="5"/>
      <c r="AI74" s="46" t="s">
        <v>81</v>
      </c>
      <c r="AJ74" s="46">
        <v>0</v>
      </c>
      <c r="AK74" s="48">
        <v>0</v>
      </c>
    </row>
    <row r="75" spans="33:37" ht="15" customHeight="1">
      <c r="AG75" s="5"/>
      <c r="AI75" s="45" t="s">
        <v>82</v>
      </c>
      <c r="AJ75" s="45">
        <v>0</v>
      </c>
      <c r="AK75" s="47">
        <v>0</v>
      </c>
    </row>
    <row r="76" spans="33:37" ht="18" customHeight="1">
      <c r="AG76" s="5"/>
      <c r="AI76" s="46" t="s">
        <v>83</v>
      </c>
      <c r="AJ76" s="46">
        <v>0</v>
      </c>
      <c r="AK76" s="48">
        <v>0</v>
      </c>
    </row>
    <row r="77" spans="33:37" ht="18" customHeight="1">
      <c r="AG77" s="5"/>
      <c r="AI77" s="45" t="s">
        <v>84</v>
      </c>
      <c r="AJ77" s="45">
        <v>0</v>
      </c>
      <c r="AK77" s="47">
        <v>0</v>
      </c>
    </row>
    <row r="78" spans="33:37" ht="22.9" customHeight="1">
      <c r="AG78" s="5"/>
      <c r="AI78" s="46" t="s">
        <v>85</v>
      </c>
      <c r="AJ78" s="46">
        <v>0</v>
      </c>
      <c r="AK78" s="48">
        <v>0</v>
      </c>
    </row>
    <row r="79" spans="33:37" ht="22.9" customHeight="1">
      <c r="AG79" s="5"/>
      <c r="AI79" s="45" t="s">
        <v>86</v>
      </c>
      <c r="AJ79" s="45">
        <v>0</v>
      </c>
      <c r="AK79" s="47">
        <v>0</v>
      </c>
    </row>
    <row r="80" spans="33:37" ht="28.9" customHeight="1">
      <c r="AG80" s="5"/>
      <c r="AI80" s="46" t="s">
        <v>87</v>
      </c>
      <c r="AJ80" s="46">
        <v>0</v>
      </c>
      <c r="AK80" s="48">
        <v>0</v>
      </c>
    </row>
    <row r="81" spans="33:37" ht="18" customHeight="1">
      <c r="AG81" s="5"/>
      <c r="AI81" s="45" t="s">
        <v>88</v>
      </c>
      <c r="AJ81" s="45">
        <v>0</v>
      </c>
      <c r="AK81" s="47">
        <v>0</v>
      </c>
    </row>
    <row r="82" spans="33:37" ht="18" customHeight="1">
      <c r="AG82" s="5"/>
      <c r="AI82" s="46" t="s">
        <v>89</v>
      </c>
      <c r="AJ82" s="46">
        <v>0</v>
      </c>
      <c r="AK82" s="48">
        <v>0</v>
      </c>
    </row>
    <row r="83" spans="33:37" ht="18" customHeight="1">
      <c r="AG83" s="5"/>
      <c r="AI83" s="45" t="s">
        <v>90</v>
      </c>
      <c r="AJ83" s="45">
        <v>0</v>
      </c>
      <c r="AK83" s="47">
        <v>0</v>
      </c>
    </row>
    <row r="84" spans="33:37" ht="18" customHeight="1">
      <c r="AG84" s="5"/>
      <c r="AI84" s="46" t="s">
        <v>91</v>
      </c>
      <c r="AJ84" s="46">
        <v>0</v>
      </c>
      <c r="AK84" s="48">
        <v>0</v>
      </c>
    </row>
    <row r="85" spans="33:37" ht="18" customHeight="1">
      <c r="AG85" s="5"/>
      <c r="AI85" s="45" t="s">
        <v>92</v>
      </c>
      <c r="AJ85" s="45">
        <v>0</v>
      </c>
      <c r="AK85" s="47">
        <v>0</v>
      </c>
    </row>
    <row r="86" spans="33:37" ht="18" customHeight="1">
      <c r="AG86" s="5"/>
      <c r="AI86" s="46" t="s">
        <v>93</v>
      </c>
      <c r="AJ86" s="46">
        <v>0</v>
      </c>
      <c r="AK86" s="48">
        <v>0</v>
      </c>
    </row>
    <row r="87" spans="33:37" ht="18" customHeight="1">
      <c r="AG87" s="5"/>
      <c r="AI87" s="45" t="s">
        <v>94</v>
      </c>
      <c r="AJ87" s="45">
        <v>0</v>
      </c>
      <c r="AK87" s="47">
        <v>0</v>
      </c>
    </row>
    <row r="88" spans="33:37" ht="18" customHeight="1">
      <c r="AG88" s="5"/>
      <c r="AI88" s="46" t="s">
        <v>95</v>
      </c>
      <c r="AJ88" s="46">
        <v>0</v>
      </c>
      <c r="AK88" s="48">
        <v>0</v>
      </c>
    </row>
    <row r="89" spans="33:37" ht="18" customHeight="1">
      <c r="AG89" s="5"/>
      <c r="AI89" s="45" t="s">
        <v>96</v>
      </c>
      <c r="AJ89" s="45">
        <v>0</v>
      </c>
      <c r="AK89" s="47">
        <v>0</v>
      </c>
    </row>
    <row r="90" spans="33:37" ht="18" customHeight="1">
      <c r="AG90" s="5"/>
      <c r="AI90" s="46" t="s">
        <v>97</v>
      </c>
      <c r="AJ90" s="46">
        <v>0</v>
      </c>
      <c r="AK90" s="48">
        <v>0</v>
      </c>
    </row>
    <row r="91" spans="33:37" ht="18" customHeight="1">
      <c r="AG91" s="5"/>
      <c r="AI91" s="45" t="s">
        <v>98</v>
      </c>
      <c r="AJ91" s="45">
        <v>0</v>
      </c>
      <c r="AK91" s="47">
        <v>0</v>
      </c>
    </row>
    <row r="92" spans="33:37" ht="18" customHeight="1">
      <c r="AG92" s="5"/>
      <c r="AI92" s="46" t="s">
        <v>99</v>
      </c>
      <c r="AJ92" s="46">
        <v>0</v>
      </c>
      <c r="AK92" s="48">
        <v>0</v>
      </c>
    </row>
    <row r="93" spans="33:37" ht="18" customHeight="1">
      <c r="AG93" s="5"/>
      <c r="AI93" s="45" t="s">
        <v>100</v>
      </c>
      <c r="AJ93" s="45">
        <v>0</v>
      </c>
      <c r="AK93" s="47">
        <v>0</v>
      </c>
    </row>
    <row r="94" spans="33:37" ht="18" customHeight="1">
      <c r="AG94" s="5"/>
      <c r="AI94" s="46" t="s">
        <v>101</v>
      </c>
      <c r="AJ94" s="46">
        <v>0</v>
      </c>
      <c r="AK94" s="48">
        <v>0</v>
      </c>
    </row>
    <row r="95" spans="33:37" ht="18" customHeight="1">
      <c r="AG95" s="5"/>
      <c r="AI95" s="45" t="s">
        <v>102</v>
      </c>
      <c r="AJ95" s="45">
        <v>0</v>
      </c>
      <c r="AK95" s="47">
        <v>0</v>
      </c>
    </row>
    <row r="96" spans="33:37" ht="18" customHeight="1">
      <c r="AG96" s="5"/>
      <c r="AI96" s="46" t="s">
        <v>103</v>
      </c>
      <c r="AJ96" s="46">
        <v>0</v>
      </c>
      <c r="AK96" s="48">
        <v>0</v>
      </c>
    </row>
    <row r="97" spans="33:37" ht="18" customHeight="1">
      <c r="AG97" s="5"/>
      <c r="AI97" s="45" t="s">
        <v>104</v>
      </c>
      <c r="AJ97" s="45">
        <v>0</v>
      </c>
      <c r="AK97" s="47">
        <v>0</v>
      </c>
    </row>
    <row r="98" spans="33:37" ht="18" customHeight="1">
      <c r="AG98" s="5"/>
      <c r="AI98" s="46" t="s">
        <v>105</v>
      </c>
      <c r="AJ98" s="46">
        <v>0</v>
      </c>
      <c r="AK98" s="48">
        <v>0</v>
      </c>
    </row>
    <row r="99" spans="33:37" ht="18" customHeight="1">
      <c r="AG99" s="5"/>
      <c r="AI99" s="45" t="s">
        <v>106</v>
      </c>
      <c r="AJ99" s="45">
        <v>0</v>
      </c>
      <c r="AK99" s="47">
        <v>0</v>
      </c>
    </row>
    <row r="100" spans="33:37" ht="18" customHeight="1">
      <c r="AG100" s="5"/>
      <c r="AI100" s="46" t="s">
        <v>107</v>
      </c>
      <c r="AJ100" s="46">
        <v>0</v>
      </c>
      <c r="AK100" s="48">
        <v>0</v>
      </c>
    </row>
    <row r="101" spans="33:37" ht="18" customHeight="1">
      <c r="AG101" s="5"/>
      <c r="AI101" s="45" t="s">
        <v>108</v>
      </c>
      <c r="AJ101" s="45">
        <v>0</v>
      </c>
      <c r="AK101" s="47">
        <v>0</v>
      </c>
    </row>
    <row r="102" spans="33:37" ht="18" customHeight="1">
      <c r="AG102" s="5"/>
      <c r="AI102" s="46" t="s">
        <v>109</v>
      </c>
      <c r="AJ102" s="46">
        <v>0</v>
      </c>
      <c r="AK102" s="48">
        <v>0</v>
      </c>
    </row>
    <row r="103" spans="33:37" ht="18" customHeight="1">
      <c r="AG103" s="5"/>
      <c r="AI103" s="45" t="s">
        <v>110</v>
      </c>
      <c r="AJ103" s="45">
        <v>0</v>
      </c>
      <c r="AK103" s="47">
        <v>0</v>
      </c>
    </row>
    <row r="104" spans="33:37" ht="18" customHeight="1">
      <c r="AG104" s="5"/>
      <c r="AI104" s="46" t="s">
        <v>111</v>
      </c>
      <c r="AJ104" s="46">
        <v>0</v>
      </c>
      <c r="AK104" s="48">
        <v>0</v>
      </c>
    </row>
    <row r="105" spans="33:37" ht="18" customHeight="1">
      <c r="AG105" s="5"/>
      <c r="AI105" s="45" t="s">
        <v>112</v>
      </c>
      <c r="AJ105" s="45">
        <v>0</v>
      </c>
      <c r="AK105" s="47">
        <v>0</v>
      </c>
    </row>
    <row r="106" spans="33:37" ht="18" customHeight="1">
      <c r="AG106" s="5"/>
      <c r="AI106" s="46" t="s">
        <v>113</v>
      </c>
      <c r="AJ106" s="46">
        <v>0</v>
      </c>
      <c r="AK106" s="48">
        <v>0</v>
      </c>
    </row>
    <row r="107" spans="33:37" ht="18" customHeight="1">
      <c r="AG107" s="5"/>
      <c r="AI107" s="45" t="s">
        <v>114</v>
      </c>
      <c r="AJ107" s="45">
        <v>0</v>
      </c>
      <c r="AK107" s="47">
        <v>0</v>
      </c>
    </row>
    <row r="108" spans="33:37" ht="18" customHeight="1">
      <c r="AG108" s="5"/>
      <c r="AI108" s="46" t="s">
        <v>115</v>
      </c>
      <c r="AJ108" s="46">
        <v>0</v>
      </c>
      <c r="AK108" s="48">
        <v>0</v>
      </c>
    </row>
    <row r="109" spans="33:37" ht="18" customHeight="1">
      <c r="AG109" s="5"/>
      <c r="AI109" s="45" t="s">
        <v>116</v>
      </c>
      <c r="AJ109" s="45">
        <v>0</v>
      </c>
      <c r="AK109" s="47">
        <v>0</v>
      </c>
    </row>
    <row r="110" spans="33:37" ht="18" customHeight="1">
      <c r="AG110" s="5"/>
      <c r="AI110" s="46" t="s">
        <v>117</v>
      </c>
      <c r="AJ110" s="46">
        <v>0</v>
      </c>
      <c r="AK110" s="48">
        <v>0</v>
      </c>
    </row>
    <row r="111" spans="33:37" ht="18" customHeight="1">
      <c r="AG111" s="5"/>
      <c r="AI111" s="45" t="s">
        <v>118</v>
      </c>
      <c r="AJ111" s="45">
        <v>0</v>
      </c>
      <c r="AK111" s="47">
        <v>0</v>
      </c>
    </row>
    <row r="112" spans="33:37" ht="18" customHeight="1">
      <c r="AG112" s="5"/>
      <c r="AI112" s="46" t="s">
        <v>21</v>
      </c>
      <c r="AJ112" s="46">
        <v>0</v>
      </c>
      <c r="AK112" s="48">
        <v>0</v>
      </c>
    </row>
    <row r="113" spans="33:37" ht="18" customHeight="1">
      <c r="AG113" s="5"/>
      <c r="AI113" s="45" t="s">
        <v>119</v>
      </c>
      <c r="AJ113" s="45">
        <v>0</v>
      </c>
      <c r="AK113" s="47">
        <v>0</v>
      </c>
    </row>
    <row r="114" spans="33:37" ht="18" customHeight="1">
      <c r="AG114" s="5"/>
      <c r="AI114" s="46" t="s">
        <v>120</v>
      </c>
      <c r="AJ114" s="46">
        <v>0</v>
      </c>
      <c r="AK114" s="48">
        <v>0</v>
      </c>
    </row>
    <row r="115" spans="33:37" ht="18" customHeight="1">
      <c r="AG115" s="5"/>
      <c r="AI115" s="45" t="s">
        <v>121</v>
      </c>
      <c r="AJ115" s="45">
        <v>0</v>
      </c>
      <c r="AK115" s="47">
        <v>0</v>
      </c>
    </row>
    <row r="116" spans="33:37" ht="18" customHeight="1">
      <c r="AG116" s="5"/>
      <c r="AI116" s="46" t="s">
        <v>122</v>
      </c>
      <c r="AJ116" s="46">
        <v>0</v>
      </c>
      <c r="AK116" s="48">
        <v>0</v>
      </c>
    </row>
    <row r="117" spans="33:37" ht="18" customHeight="1">
      <c r="AG117" s="5"/>
      <c r="AI117" s="45" t="s">
        <v>123</v>
      </c>
      <c r="AJ117" s="45">
        <v>0</v>
      </c>
      <c r="AK117" s="47">
        <v>0</v>
      </c>
    </row>
    <row r="118" spans="33:37" ht="18" customHeight="1">
      <c r="AG118" s="5"/>
      <c r="AI118" s="46" t="s">
        <v>124</v>
      </c>
      <c r="AJ118" s="46">
        <v>0</v>
      </c>
      <c r="AK118" s="48">
        <v>0</v>
      </c>
    </row>
    <row r="119" spans="33:37" ht="18" customHeight="1">
      <c r="AG119" s="5"/>
      <c r="AI119" s="45" t="s">
        <v>125</v>
      </c>
      <c r="AJ119" s="45">
        <v>0</v>
      </c>
      <c r="AK119" s="47">
        <v>0</v>
      </c>
    </row>
    <row r="120" spans="33:37" ht="18" customHeight="1">
      <c r="AG120" s="5"/>
      <c r="AI120" s="46" t="s">
        <v>126</v>
      </c>
      <c r="AJ120" s="46">
        <v>0</v>
      </c>
      <c r="AK120" s="48">
        <v>0</v>
      </c>
    </row>
    <row r="121" spans="33:37" ht="18" customHeight="1">
      <c r="AG121" s="5"/>
      <c r="AI121" s="45" t="s">
        <v>127</v>
      </c>
      <c r="AJ121" s="45">
        <v>0</v>
      </c>
      <c r="AK121" s="47">
        <v>0</v>
      </c>
    </row>
    <row r="122" spans="33:37" ht="18" customHeight="1">
      <c r="AG122" s="5"/>
      <c r="AI122" s="46" t="s">
        <v>128</v>
      </c>
      <c r="AJ122" s="46">
        <v>0</v>
      </c>
      <c r="AK122" s="48">
        <v>0</v>
      </c>
    </row>
    <row r="123" spans="33:37" ht="18" customHeight="1">
      <c r="AG123" s="5"/>
      <c r="AI123" s="45" t="s">
        <v>129</v>
      </c>
      <c r="AJ123" s="45">
        <v>0</v>
      </c>
      <c r="AK123" s="47">
        <v>0</v>
      </c>
    </row>
    <row r="124" spans="33:37" ht="18" customHeight="1">
      <c r="AG124" s="5"/>
      <c r="AI124" s="46" t="s">
        <v>130</v>
      </c>
      <c r="AJ124" s="46">
        <v>0</v>
      </c>
      <c r="AK124" s="48">
        <v>0</v>
      </c>
    </row>
    <row r="125" spans="33:37" ht="18" customHeight="1">
      <c r="AG125" s="5"/>
      <c r="AI125" s="45" t="s">
        <v>131</v>
      </c>
      <c r="AJ125" s="45">
        <v>0</v>
      </c>
      <c r="AK125" s="47">
        <v>0</v>
      </c>
    </row>
    <row r="126" spans="33:37" ht="18" customHeight="1">
      <c r="AG126" s="5"/>
      <c r="AI126" s="46" t="s">
        <v>132</v>
      </c>
      <c r="AJ126" s="46">
        <v>0</v>
      </c>
      <c r="AK126" s="48">
        <v>0</v>
      </c>
    </row>
    <row r="127" spans="33:37" ht="18" customHeight="1">
      <c r="AG127" s="5"/>
      <c r="AI127" s="45" t="s">
        <v>133</v>
      </c>
      <c r="AJ127" s="45">
        <v>0</v>
      </c>
      <c r="AK127" s="47">
        <v>0</v>
      </c>
    </row>
    <row r="128" spans="33:37" ht="18" customHeight="1">
      <c r="AG128" s="5"/>
      <c r="AI128" s="46" t="s">
        <v>134</v>
      </c>
      <c r="AJ128" s="46">
        <v>0</v>
      </c>
      <c r="AK128" s="48">
        <v>0</v>
      </c>
    </row>
    <row r="129" spans="33:37" ht="18" customHeight="1">
      <c r="AG129" s="5"/>
      <c r="AI129" s="45" t="s">
        <v>135</v>
      </c>
      <c r="AJ129" s="45">
        <v>0</v>
      </c>
      <c r="AK129" s="47">
        <v>0</v>
      </c>
    </row>
    <row r="130" spans="33:37" ht="18" customHeight="1">
      <c r="AG130" s="5"/>
      <c r="AI130" s="46" t="s">
        <v>136</v>
      </c>
      <c r="AJ130" s="46">
        <v>0</v>
      </c>
      <c r="AK130" s="48">
        <v>0</v>
      </c>
    </row>
    <row r="131" spans="33:37" ht="18" customHeight="1">
      <c r="AG131" s="5"/>
      <c r="AI131" s="45" t="s">
        <v>137</v>
      </c>
      <c r="AJ131" s="45">
        <v>0</v>
      </c>
      <c r="AK131" s="47">
        <v>0</v>
      </c>
    </row>
    <row r="132" spans="33:37" ht="18" customHeight="1">
      <c r="AG132" s="5"/>
      <c r="AI132" s="46" t="s">
        <v>138</v>
      </c>
      <c r="AJ132" s="46">
        <v>0</v>
      </c>
      <c r="AK132" s="48">
        <v>0</v>
      </c>
    </row>
    <row r="133" spans="33:37" ht="18" customHeight="1">
      <c r="AG133" s="5"/>
      <c r="AI133" s="45" t="s">
        <v>139</v>
      </c>
      <c r="AJ133" s="45">
        <v>0</v>
      </c>
      <c r="AK133" s="47">
        <v>0</v>
      </c>
    </row>
    <row r="134" spans="33:37" ht="18" customHeight="1">
      <c r="AG134" s="5"/>
      <c r="AI134" s="46" t="s">
        <v>140</v>
      </c>
      <c r="AJ134" s="46">
        <v>0</v>
      </c>
      <c r="AK134" s="48">
        <v>0</v>
      </c>
    </row>
    <row r="135" spans="33:37" ht="18" customHeight="1">
      <c r="AG135" s="5"/>
      <c r="AI135" s="45" t="s">
        <v>141</v>
      </c>
      <c r="AJ135" s="45">
        <v>0</v>
      </c>
      <c r="AK135" s="47">
        <v>0</v>
      </c>
    </row>
    <row r="136" spans="33:37" ht="18" customHeight="1">
      <c r="AG136" s="5"/>
      <c r="AI136" s="46" t="s">
        <v>142</v>
      </c>
      <c r="AJ136" s="46">
        <v>0</v>
      </c>
      <c r="AK136" s="48">
        <v>0</v>
      </c>
    </row>
    <row r="137" spans="33:37" ht="18" customHeight="1">
      <c r="AG137" s="5"/>
      <c r="AI137" s="45" t="s">
        <v>143</v>
      </c>
      <c r="AJ137" s="45">
        <v>0</v>
      </c>
      <c r="AK137" s="47">
        <v>0</v>
      </c>
    </row>
    <row r="138" spans="33:37" ht="18" customHeight="1">
      <c r="AG138" s="5"/>
      <c r="AI138" s="46" t="s">
        <v>144</v>
      </c>
      <c r="AJ138" s="46">
        <v>0</v>
      </c>
      <c r="AK138" s="48">
        <v>0</v>
      </c>
    </row>
    <row r="139" spans="33:37" ht="18" customHeight="1">
      <c r="AG139" s="5"/>
      <c r="AI139" s="45" t="s">
        <v>145</v>
      </c>
      <c r="AJ139" s="45">
        <v>0</v>
      </c>
      <c r="AK139" s="47">
        <v>0</v>
      </c>
    </row>
    <row r="140" spans="33:37" ht="18" customHeight="1">
      <c r="AG140" s="5"/>
      <c r="AI140" s="46" t="s">
        <v>146</v>
      </c>
      <c r="AJ140" s="46">
        <v>0</v>
      </c>
      <c r="AK140" s="48">
        <v>0</v>
      </c>
    </row>
    <row r="141" spans="33:37" ht="18" customHeight="1">
      <c r="AG141" s="5"/>
      <c r="AI141" s="45" t="s">
        <v>147</v>
      </c>
      <c r="AJ141" s="45">
        <v>0</v>
      </c>
      <c r="AK141" s="47">
        <v>0</v>
      </c>
    </row>
    <row r="142" spans="33:37" ht="18" customHeight="1">
      <c r="AG142" s="5"/>
      <c r="AI142" s="46" t="s">
        <v>148</v>
      </c>
      <c r="AJ142" s="46">
        <v>0</v>
      </c>
      <c r="AK142" s="48">
        <v>0</v>
      </c>
    </row>
    <row r="143" spans="33:37" ht="18" customHeight="1">
      <c r="AG143" s="5"/>
      <c r="AI143" s="45" t="s">
        <v>149</v>
      </c>
      <c r="AJ143" s="45">
        <v>0</v>
      </c>
      <c r="AK143" s="47">
        <v>0</v>
      </c>
    </row>
    <row r="144" spans="33:37" ht="18" customHeight="1">
      <c r="AG144" s="5"/>
      <c r="AI144" s="46" t="s">
        <v>150</v>
      </c>
      <c r="AJ144" s="46">
        <v>0</v>
      </c>
      <c r="AK144" s="48">
        <v>0</v>
      </c>
    </row>
    <row r="145" spans="33:37" ht="18" customHeight="1">
      <c r="AG145" s="5"/>
      <c r="AI145" s="45" t="s">
        <v>151</v>
      </c>
      <c r="AJ145" s="45">
        <v>0</v>
      </c>
      <c r="AK145" s="47">
        <v>0</v>
      </c>
    </row>
    <row r="146" spans="33:37" ht="18" customHeight="1">
      <c r="AG146" s="5"/>
      <c r="AI146" s="46" t="s">
        <v>152</v>
      </c>
      <c r="AJ146" s="46">
        <v>0</v>
      </c>
      <c r="AK146" s="48">
        <v>0</v>
      </c>
    </row>
    <row r="147" spans="33:37" ht="18" customHeight="1">
      <c r="AG147" s="5"/>
      <c r="AI147" s="45" t="s">
        <v>153</v>
      </c>
      <c r="AJ147" s="45">
        <v>0</v>
      </c>
      <c r="AK147" s="47">
        <v>0</v>
      </c>
    </row>
    <row r="148" spans="33:37" ht="18" customHeight="1">
      <c r="AG148" s="5"/>
      <c r="AI148" s="46" t="s">
        <v>154</v>
      </c>
      <c r="AJ148" s="46">
        <v>0</v>
      </c>
      <c r="AK148" s="48">
        <v>0</v>
      </c>
    </row>
    <row r="149" spans="33:37" ht="18" customHeight="1">
      <c r="AG149" s="5"/>
      <c r="AI149" s="45" t="s">
        <v>155</v>
      </c>
      <c r="AJ149" s="45">
        <v>0</v>
      </c>
      <c r="AK149" s="47">
        <v>0</v>
      </c>
    </row>
    <row r="150" spans="33:37" ht="18" customHeight="1">
      <c r="AG150" s="5"/>
      <c r="AI150" s="46" t="s">
        <v>156</v>
      </c>
      <c r="AJ150" s="46">
        <v>0</v>
      </c>
      <c r="AK150" s="48">
        <v>0</v>
      </c>
    </row>
    <row r="151" spans="33:37" ht="18" customHeight="1">
      <c r="AG151" s="5"/>
      <c r="AI151" s="45" t="s">
        <v>157</v>
      </c>
      <c r="AJ151" s="45">
        <v>0</v>
      </c>
      <c r="AK151" s="47">
        <v>0</v>
      </c>
    </row>
    <row r="152" spans="33:37" ht="18" customHeight="1">
      <c r="AG152" s="5"/>
      <c r="AI152" s="46" t="s">
        <v>158</v>
      </c>
      <c r="AJ152" s="46">
        <v>0</v>
      </c>
      <c r="AK152" s="48">
        <v>0</v>
      </c>
    </row>
    <row r="153" spans="33:37" ht="18" customHeight="1">
      <c r="AG153" s="5"/>
      <c r="AI153" s="45" t="s">
        <v>159</v>
      </c>
      <c r="AJ153" s="45">
        <v>0</v>
      </c>
      <c r="AK153" s="47">
        <v>0</v>
      </c>
    </row>
    <row r="154" spans="33:37" ht="18" customHeight="1">
      <c r="AG154" s="5"/>
      <c r="AI154" s="46" t="s">
        <v>160</v>
      </c>
      <c r="AJ154" s="46">
        <v>0</v>
      </c>
      <c r="AK154" s="48">
        <v>0</v>
      </c>
    </row>
    <row r="155" spans="33:37" ht="18" customHeight="1">
      <c r="AG155" s="5"/>
      <c r="AI155" s="45" t="s">
        <v>161</v>
      </c>
      <c r="AJ155" s="45">
        <v>0</v>
      </c>
      <c r="AK155" s="47">
        <v>0</v>
      </c>
    </row>
    <row r="156" spans="33:37" ht="18" customHeight="1">
      <c r="AG156" s="5"/>
      <c r="AI156" s="46" t="s">
        <v>162</v>
      </c>
      <c r="AJ156" s="46">
        <v>0</v>
      </c>
      <c r="AK156" s="48">
        <v>0</v>
      </c>
    </row>
    <row r="157" spans="33:37" ht="18" customHeight="1">
      <c r="AG157" s="5"/>
      <c r="AI157" s="45" t="s">
        <v>163</v>
      </c>
      <c r="AJ157" s="45">
        <v>0</v>
      </c>
      <c r="AK157" s="47">
        <v>0</v>
      </c>
    </row>
    <row r="158" spans="33:37" ht="18" customHeight="1">
      <c r="AG158" s="5"/>
      <c r="AI158" s="46" t="s">
        <v>164</v>
      </c>
      <c r="AJ158" s="46">
        <v>0</v>
      </c>
      <c r="AK158" s="48">
        <v>0</v>
      </c>
    </row>
    <row r="159" spans="33:37" ht="18" customHeight="1">
      <c r="AG159" s="5"/>
      <c r="AI159" s="45" t="s">
        <v>165</v>
      </c>
      <c r="AJ159" s="45">
        <v>0</v>
      </c>
      <c r="AK159" s="47">
        <v>0</v>
      </c>
    </row>
    <row r="160" spans="33:37" ht="18" customHeight="1">
      <c r="AG160" s="5"/>
      <c r="AI160" s="46" t="s">
        <v>166</v>
      </c>
      <c r="AJ160" s="46">
        <v>0</v>
      </c>
      <c r="AK160" s="48">
        <v>0</v>
      </c>
    </row>
    <row r="161" spans="33:37" ht="18" customHeight="1">
      <c r="AG161" s="5"/>
      <c r="AI161" s="45" t="s">
        <v>167</v>
      </c>
      <c r="AJ161" s="45">
        <v>0</v>
      </c>
      <c r="AK161" s="47">
        <v>0</v>
      </c>
    </row>
    <row r="162" spans="33:37" ht="18" customHeight="1">
      <c r="AG162" s="5"/>
      <c r="AI162" s="46" t="s">
        <v>168</v>
      </c>
      <c r="AJ162" s="46">
        <v>0</v>
      </c>
      <c r="AK162" s="48">
        <v>0</v>
      </c>
    </row>
    <row r="163" spans="33:37" ht="18" customHeight="1">
      <c r="AG163" s="5"/>
      <c r="AI163" s="45" t="s">
        <v>169</v>
      </c>
      <c r="AJ163" s="45">
        <v>0</v>
      </c>
      <c r="AK163" s="47">
        <v>0</v>
      </c>
    </row>
    <row r="164" spans="33:37" ht="18" customHeight="1">
      <c r="AG164" s="5"/>
      <c r="AI164" s="46" t="s">
        <v>170</v>
      </c>
      <c r="AJ164" s="46">
        <v>0</v>
      </c>
      <c r="AK164" s="48">
        <v>0</v>
      </c>
    </row>
    <row r="165" spans="33:37" ht="18" customHeight="1">
      <c r="AG165" s="5"/>
      <c r="AI165" s="45" t="s">
        <v>171</v>
      </c>
      <c r="AJ165" s="45">
        <v>0</v>
      </c>
      <c r="AK165" s="47">
        <v>0</v>
      </c>
    </row>
    <row r="166" spans="33:37" ht="18" customHeight="1">
      <c r="AG166" s="5"/>
      <c r="AI166" s="46" t="s">
        <v>172</v>
      </c>
      <c r="AJ166" s="46">
        <v>0</v>
      </c>
      <c r="AK166" s="48">
        <v>0</v>
      </c>
    </row>
    <row r="167" spans="33:37" ht="18" customHeight="1">
      <c r="AG167" s="5"/>
      <c r="AI167" s="45" t="s">
        <v>173</v>
      </c>
      <c r="AJ167" s="45">
        <v>0</v>
      </c>
      <c r="AK167" s="47">
        <v>0</v>
      </c>
    </row>
    <row r="168" spans="33:37" ht="18" customHeight="1">
      <c r="AG168" s="5"/>
      <c r="AI168" s="46" t="s">
        <v>174</v>
      </c>
      <c r="AJ168" s="46">
        <v>0</v>
      </c>
      <c r="AK168" s="48">
        <v>0</v>
      </c>
    </row>
    <row r="169" spans="33:37" ht="18" customHeight="1">
      <c r="AG169" s="5"/>
      <c r="AI169" s="45" t="s">
        <v>175</v>
      </c>
      <c r="AJ169" s="45">
        <v>0</v>
      </c>
      <c r="AK169" s="47">
        <v>0</v>
      </c>
    </row>
    <row r="170" spans="33:37" ht="18" customHeight="1">
      <c r="AG170" s="5"/>
      <c r="AI170" s="46" t="s">
        <v>176</v>
      </c>
      <c r="AJ170" s="46">
        <v>0</v>
      </c>
      <c r="AK170" s="48">
        <v>0</v>
      </c>
    </row>
    <row r="171" spans="33:37" ht="18" customHeight="1">
      <c r="AG171" s="5"/>
      <c r="AI171" s="45" t="s">
        <v>177</v>
      </c>
      <c r="AJ171" s="45">
        <v>0</v>
      </c>
      <c r="AK171" s="47">
        <v>0</v>
      </c>
    </row>
    <row r="172" spans="33:37" ht="18" customHeight="1">
      <c r="AG172" s="5"/>
      <c r="AI172" s="46" t="s">
        <v>178</v>
      </c>
      <c r="AJ172" s="46">
        <v>0</v>
      </c>
      <c r="AK172" s="48">
        <v>0</v>
      </c>
    </row>
    <row r="173" spans="33:37" ht="18" customHeight="1">
      <c r="AG173" s="5"/>
      <c r="AI173" s="45" t="s">
        <v>179</v>
      </c>
      <c r="AJ173" s="45">
        <v>0</v>
      </c>
      <c r="AK173" s="47">
        <v>0</v>
      </c>
    </row>
    <row r="174" spans="33:37" ht="18" customHeight="1">
      <c r="AG174" s="5"/>
      <c r="AI174" s="46" t="s">
        <v>180</v>
      </c>
      <c r="AJ174" s="46">
        <v>0</v>
      </c>
      <c r="AK174" s="48">
        <v>0</v>
      </c>
    </row>
    <row r="175" spans="33:37" ht="18" customHeight="1">
      <c r="AG175" s="5"/>
      <c r="AI175" s="45" t="s">
        <v>181</v>
      </c>
      <c r="AJ175" s="45">
        <v>0</v>
      </c>
      <c r="AK175" s="47">
        <v>0</v>
      </c>
    </row>
    <row r="176" spans="33:37" ht="18" customHeight="1">
      <c r="AG176" s="5"/>
      <c r="AI176" s="46" t="s">
        <v>182</v>
      </c>
      <c r="AJ176" s="46">
        <v>0</v>
      </c>
      <c r="AK176" s="48">
        <v>0</v>
      </c>
    </row>
    <row r="177" spans="33:37" ht="18" customHeight="1">
      <c r="AG177" s="5"/>
      <c r="AI177" s="45" t="s">
        <v>183</v>
      </c>
      <c r="AJ177" s="45">
        <v>0</v>
      </c>
      <c r="AK177" s="47">
        <v>0</v>
      </c>
    </row>
    <row r="178" spans="33:37" ht="18" customHeight="1">
      <c r="AG178" s="5"/>
      <c r="AI178" s="46" t="s">
        <v>184</v>
      </c>
      <c r="AJ178" s="46">
        <v>0</v>
      </c>
      <c r="AK178" s="48">
        <v>0</v>
      </c>
    </row>
    <row r="179" spans="33:37" ht="18" customHeight="1">
      <c r="AG179" s="5"/>
      <c r="AI179" s="45" t="s">
        <v>185</v>
      </c>
      <c r="AJ179" s="45">
        <v>0</v>
      </c>
      <c r="AK179" s="47">
        <v>0</v>
      </c>
    </row>
    <row r="180" spans="33:37" ht="18" customHeight="1">
      <c r="AG180" s="5"/>
      <c r="AI180" s="46" t="s">
        <v>186</v>
      </c>
      <c r="AJ180" s="46">
        <v>0</v>
      </c>
      <c r="AK180" s="48">
        <v>0</v>
      </c>
    </row>
    <row r="181" spans="33:37" ht="18" customHeight="1">
      <c r="AG181" s="5"/>
      <c r="AI181" s="45" t="s">
        <v>187</v>
      </c>
      <c r="AJ181" s="45">
        <v>0</v>
      </c>
      <c r="AK181" s="47">
        <v>0</v>
      </c>
    </row>
    <row r="182" spans="33:37" ht="18" customHeight="1">
      <c r="AG182" s="5"/>
      <c r="AI182" s="46" t="s">
        <v>188</v>
      </c>
      <c r="AJ182" s="46">
        <v>0</v>
      </c>
      <c r="AK182" s="48">
        <v>0</v>
      </c>
    </row>
    <row r="183" spans="33:37" ht="18" customHeight="1">
      <c r="AG183" s="5"/>
      <c r="AI183" s="45" t="s">
        <v>189</v>
      </c>
      <c r="AJ183" s="45">
        <v>0</v>
      </c>
      <c r="AK183" s="47">
        <v>0</v>
      </c>
    </row>
    <row r="184" spans="33:37" ht="18" customHeight="1">
      <c r="AG184" s="5"/>
      <c r="AI184" s="46" t="s">
        <v>190</v>
      </c>
      <c r="AJ184" s="46">
        <v>0</v>
      </c>
      <c r="AK184" s="48">
        <v>0</v>
      </c>
    </row>
    <row r="185" spans="33:37" ht="18" customHeight="1">
      <c r="AG185" s="5"/>
      <c r="AI185" s="45" t="s">
        <v>191</v>
      </c>
      <c r="AJ185" s="45">
        <v>0</v>
      </c>
      <c r="AK185" s="47">
        <v>0</v>
      </c>
    </row>
    <row r="186" spans="33:37" ht="18" customHeight="1">
      <c r="AG186" s="5"/>
      <c r="AI186" s="46" t="s">
        <v>192</v>
      </c>
      <c r="AJ186" s="46">
        <v>0</v>
      </c>
      <c r="AK186" s="48">
        <v>0</v>
      </c>
    </row>
    <row r="187" spans="33:37" ht="18" customHeight="1">
      <c r="AG187" s="5"/>
      <c r="AI187" s="45" t="s">
        <v>193</v>
      </c>
      <c r="AJ187" s="45">
        <v>0</v>
      </c>
      <c r="AK187" s="47">
        <v>0</v>
      </c>
    </row>
    <row r="188" spans="33:37" ht="18" customHeight="1">
      <c r="AG188" s="5"/>
      <c r="AI188" s="46" t="s">
        <v>194</v>
      </c>
      <c r="AJ188" s="46">
        <v>0</v>
      </c>
      <c r="AK188" s="48">
        <v>0</v>
      </c>
    </row>
    <row r="189" spans="33:37" ht="18" customHeight="1">
      <c r="AG189" s="5"/>
      <c r="AI189" s="45" t="s">
        <v>195</v>
      </c>
      <c r="AJ189" s="45">
        <v>0</v>
      </c>
      <c r="AK189" s="47">
        <v>0</v>
      </c>
    </row>
    <row r="190" spans="33:37" ht="18" customHeight="1">
      <c r="AG190" s="5"/>
      <c r="AI190" s="46" t="s">
        <v>196</v>
      </c>
      <c r="AJ190" s="46">
        <v>0</v>
      </c>
      <c r="AK190" s="48">
        <v>0</v>
      </c>
    </row>
    <row r="191" spans="33:37" ht="18" customHeight="1">
      <c r="AG191" s="5"/>
      <c r="AI191" s="45" t="s">
        <v>34</v>
      </c>
      <c r="AJ191" s="45">
        <v>0</v>
      </c>
      <c r="AK191" s="47">
        <v>0</v>
      </c>
    </row>
    <row r="192" spans="33:37" ht="18" customHeight="1">
      <c r="AG192" s="5"/>
      <c r="AI192" s="46" t="s">
        <v>197</v>
      </c>
      <c r="AJ192" s="46">
        <v>0</v>
      </c>
      <c r="AK192" s="48">
        <v>0</v>
      </c>
    </row>
    <row r="193" spans="33:37" ht="18" customHeight="1">
      <c r="AG193" s="5"/>
      <c r="AI193" s="45" t="s">
        <v>198</v>
      </c>
      <c r="AJ193" s="45">
        <v>0</v>
      </c>
      <c r="AK193" s="47">
        <v>0</v>
      </c>
    </row>
    <row r="194" spans="33:37" ht="18" customHeight="1">
      <c r="AG194" s="5"/>
      <c r="AI194" s="46" t="s">
        <v>199</v>
      </c>
      <c r="AJ194" s="46">
        <v>0</v>
      </c>
      <c r="AK194" s="48">
        <v>0</v>
      </c>
    </row>
    <row r="195" spans="33:37" ht="18" customHeight="1">
      <c r="AG195" s="5"/>
      <c r="AI195" s="45" t="s">
        <v>200</v>
      </c>
      <c r="AJ195" s="45">
        <v>0</v>
      </c>
      <c r="AK195" s="47">
        <v>0</v>
      </c>
    </row>
    <row r="196" spans="33:37" ht="18" customHeight="1">
      <c r="AG196" s="5"/>
      <c r="AI196" s="46" t="s">
        <v>201</v>
      </c>
      <c r="AJ196" s="46">
        <v>0</v>
      </c>
      <c r="AK196" s="48">
        <v>0</v>
      </c>
    </row>
    <row r="197" spans="33:37" ht="18" customHeight="1">
      <c r="AG197" s="5"/>
      <c r="AI197" s="45" t="s">
        <v>202</v>
      </c>
      <c r="AJ197" s="45">
        <v>0</v>
      </c>
      <c r="AK197" s="47">
        <v>0</v>
      </c>
    </row>
    <row r="198" spans="33:37" ht="18" customHeight="1">
      <c r="AG198" s="5"/>
      <c r="AI198" s="46" t="s">
        <v>203</v>
      </c>
      <c r="AJ198" s="46">
        <v>0</v>
      </c>
      <c r="AK198" s="48">
        <v>0</v>
      </c>
    </row>
    <row r="199" spans="33:37" ht="18" customHeight="1">
      <c r="AG199" s="5"/>
      <c r="AI199" s="45" t="s">
        <v>204</v>
      </c>
      <c r="AJ199" s="45">
        <v>0</v>
      </c>
      <c r="AK199" s="47">
        <v>0</v>
      </c>
    </row>
    <row r="200" spans="33:37" ht="18" customHeight="1">
      <c r="AG200" s="5"/>
      <c r="AI200" s="46" t="s">
        <v>205</v>
      </c>
      <c r="AJ200" s="46">
        <v>0</v>
      </c>
      <c r="AK200" s="48">
        <v>0</v>
      </c>
    </row>
    <row r="201" spans="33:37" ht="18" customHeight="1">
      <c r="AG201" s="5"/>
      <c r="AI201" s="45" t="s">
        <v>206</v>
      </c>
      <c r="AJ201" s="45">
        <v>0</v>
      </c>
      <c r="AK201" s="47">
        <v>0</v>
      </c>
    </row>
    <row r="202" spans="33:37" ht="18" customHeight="1">
      <c r="AG202" s="5"/>
      <c r="AI202" s="46" t="s">
        <v>207</v>
      </c>
      <c r="AJ202" s="46">
        <v>0</v>
      </c>
      <c r="AK202" s="48">
        <v>0</v>
      </c>
    </row>
    <row r="203" spans="33:37" ht="18" customHeight="1">
      <c r="AG203" s="5"/>
      <c r="AI203" s="45" t="s">
        <v>208</v>
      </c>
      <c r="AJ203" s="45">
        <v>0</v>
      </c>
      <c r="AK203" s="47">
        <v>0</v>
      </c>
    </row>
    <row r="204" spans="33:37" ht="18" customHeight="1">
      <c r="AG204" s="5"/>
      <c r="AI204" s="46" t="s">
        <v>209</v>
      </c>
      <c r="AJ204" s="46">
        <v>0</v>
      </c>
      <c r="AK204" s="48">
        <v>0</v>
      </c>
    </row>
    <row r="205" spans="33:37" ht="18" customHeight="1">
      <c r="AG205" s="5"/>
      <c r="AI205" s="45" t="s">
        <v>210</v>
      </c>
      <c r="AJ205" s="45">
        <v>0</v>
      </c>
      <c r="AK205" s="47">
        <v>0</v>
      </c>
    </row>
    <row r="206" spans="33:37" ht="18" customHeight="1">
      <c r="AG206" s="5"/>
      <c r="AI206" s="46" t="s">
        <v>211</v>
      </c>
      <c r="AJ206" s="46">
        <v>0</v>
      </c>
      <c r="AK206" s="48">
        <v>0</v>
      </c>
    </row>
    <row r="207" spans="33:37" ht="18" customHeight="1">
      <c r="AG207" s="5"/>
      <c r="AI207" s="45" t="s">
        <v>212</v>
      </c>
      <c r="AJ207" s="45">
        <v>0</v>
      </c>
      <c r="AK207" s="47">
        <v>0</v>
      </c>
    </row>
    <row r="208" spans="33:37" ht="18" customHeight="1">
      <c r="AG208" s="5"/>
      <c r="AI208" s="46" t="s">
        <v>213</v>
      </c>
      <c r="AJ208" s="46">
        <v>0</v>
      </c>
      <c r="AK208" s="48">
        <v>0</v>
      </c>
    </row>
    <row r="209" spans="33:37" ht="18" customHeight="1">
      <c r="AG209" s="5"/>
      <c r="AI209" s="45" t="s">
        <v>214</v>
      </c>
      <c r="AJ209" s="45">
        <v>0</v>
      </c>
      <c r="AK209" s="47">
        <v>0</v>
      </c>
    </row>
    <row r="210" spans="33:37" ht="18" customHeight="1">
      <c r="AG210" s="5"/>
      <c r="AI210" s="46" t="s">
        <v>215</v>
      </c>
      <c r="AJ210" s="46">
        <v>0</v>
      </c>
      <c r="AK210" s="48">
        <v>0</v>
      </c>
    </row>
    <row r="211" spans="33:37" ht="18" customHeight="1">
      <c r="AG211" s="5"/>
      <c r="AI211" s="45" t="s">
        <v>216</v>
      </c>
      <c r="AJ211" s="45">
        <v>0</v>
      </c>
      <c r="AK211" s="47">
        <v>0</v>
      </c>
    </row>
    <row r="212" spans="33:37" ht="18" customHeight="1">
      <c r="AG212" s="5"/>
      <c r="AI212" s="46" t="s">
        <v>217</v>
      </c>
      <c r="AJ212" s="46">
        <v>0</v>
      </c>
      <c r="AK212" s="48">
        <v>0</v>
      </c>
    </row>
    <row r="213" spans="33:37" ht="18" customHeight="1">
      <c r="AG213" s="5"/>
      <c r="AI213" s="45" t="s">
        <v>218</v>
      </c>
      <c r="AJ213" s="45">
        <v>0</v>
      </c>
      <c r="AK213" s="47">
        <v>0</v>
      </c>
    </row>
    <row r="214" spans="33:37" ht="18" customHeight="1">
      <c r="AG214" s="5"/>
      <c r="AI214" s="46" t="s">
        <v>219</v>
      </c>
      <c r="AJ214" s="46">
        <v>0</v>
      </c>
      <c r="AK214" s="48">
        <v>0</v>
      </c>
    </row>
    <row r="215" spans="33:37" ht="18" customHeight="1">
      <c r="AG215" s="5"/>
      <c r="AI215" s="45" t="s">
        <v>220</v>
      </c>
      <c r="AJ215" s="45">
        <v>0</v>
      </c>
      <c r="AK215" s="47">
        <v>0</v>
      </c>
    </row>
    <row r="216" spans="33:37" ht="18" customHeight="1">
      <c r="AG216" s="5"/>
      <c r="AI216" s="46" t="s">
        <v>221</v>
      </c>
      <c r="AJ216" s="46">
        <v>0</v>
      </c>
      <c r="AK216" s="48">
        <v>0</v>
      </c>
    </row>
    <row r="217" spans="33:37" ht="18" customHeight="1">
      <c r="AG217" s="5"/>
      <c r="AI217" s="45" t="s">
        <v>222</v>
      </c>
      <c r="AJ217" s="45">
        <v>0</v>
      </c>
      <c r="AK217" s="47">
        <v>0</v>
      </c>
    </row>
    <row r="218" spans="33:37" ht="18" customHeight="1">
      <c r="AG218" s="5"/>
      <c r="AI218" s="46" t="s">
        <v>223</v>
      </c>
      <c r="AJ218" s="46">
        <v>0</v>
      </c>
      <c r="AK218" s="48">
        <v>0</v>
      </c>
    </row>
    <row r="219" spans="33:37" ht="18" customHeight="1">
      <c r="AG219" s="5"/>
      <c r="AI219" s="45" t="s">
        <v>224</v>
      </c>
      <c r="AJ219" s="45">
        <v>0</v>
      </c>
      <c r="AK219" s="47">
        <v>0</v>
      </c>
    </row>
    <row r="220" spans="33:37" ht="18" customHeight="1">
      <c r="AG220" s="5"/>
      <c r="AI220" s="46" t="s">
        <v>225</v>
      </c>
      <c r="AJ220" s="46">
        <v>0</v>
      </c>
      <c r="AK220" s="48">
        <v>0</v>
      </c>
    </row>
    <row r="221" spans="33:37" ht="18" customHeight="1">
      <c r="AG221" s="5"/>
      <c r="AI221" s="45" t="s">
        <v>226</v>
      </c>
      <c r="AJ221" s="45">
        <v>0</v>
      </c>
      <c r="AK221" s="47">
        <v>0</v>
      </c>
    </row>
    <row r="222" spans="33:37" ht="18" customHeight="1">
      <c r="AG222" s="5"/>
      <c r="AI222" s="46" t="s">
        <v>227</v>
      </c>
      <c r="AJ222" s="46">
        <v>0</v>
      </c>
      <c r="AK222" s="48">
        <v>0</v>
      </c>
    </row>
    <row r="223" spans="33:37" ht="18" customHeight="1">
      <c r="AG223" s="5"/>
      <c r="AI223" s="45" t="s">
        <v>228</v>
      </c>
      <c r="AJ223" s="45">
        <v>0</v>
      </c>
      <c r="AK223" s="47">
        <v>0</v>
      </c>
    </row>
    <row r="224" spans="33:37" ht="18" customHeight="1">
      <c r="AG224" s="5"/>
      <c r="AI224" s="46" t="s">
        <v>229</v>
      </c>
      <c r="AJ224" s="46">
        <v>0</v>
      </c>
      <c r="AK224" s="48">
        <v>0</v>
      </c>
    </row>
    <row r="225" spans="33:37" ht="18" customHeight="1">
      <c r="AG225" s="5"/>
      <c r="AI225" s="45" t="s">
        <v>230</v>
      </c>
      <c r="AJ225" s="45">
        <v>0</v>
      </c>
      <c r="AK225" s="47">
        <v>0</v>
      </c>
    </row>
    <row r="226" spans="33:37" ht="18" customHeight="1">
      <c r="AG226" s="5"/>
      <c r="AI226" s="46" t="s">
        <v>231</v>
      </c>
      <c r="AJ226" s="46">
        <v>0</v>
      </c>
      <c r="AK226" s="48">
        <v>0</v>
      </c>
    </row>
    <row r="227" spans="33:37" ht="18" customHeight="1">
      <c r="AG227" s="5"/>
      <c r="AI227" s="45" t="s">
        <v>232</v>
      </c>
      <c r="AJ227" s="45">
        <v>0</v>
      </c>
      <c r="AK227" s="47">
        <v>0</v>
      </c>
    </row>
    <row r="228" spans="33:37" ht="18" customHeight="1">
      <c r="AG228" s="5"/>
      <c r="AI228" s="46" t="s">
        <v>233</v>
      </c>
      <c r="AJ228" s="46">
        <v>0</v>
      </c>
      <c r="AK228" s="48">
        <v>0</v>
      </c>
    </row>
    <row r="229" spans="33:37" ht="18" customHeight="1">
      <c r="AG229" s="5"/>
      <c r="AI229" s="45" t="s">
        <v>234</v>
      </c>
      <c r="AJ229" s="45">
        <v>0</v>
      </c>
      <c r="AK229" s="47">
        <v>0</v>
      </c>
    </row>
    <row r="230" spans="33:37" ht="18" customHeight="1">
      <c r="AG230" s="5"/>
      <c r="AI230" s="46" t="s">
        <v>235</v>
      </c>
      <c r="AJ230" s="46">
        <v>0</v>
      </c>
      <c r="AK230" s="48">
        <v>0</v>
      </c>
    </row>
    <row r="231" spans="33:37" ht="18" customHeight="1">
      <c r="AG231" s="5"/>
      <c r="AI231" s="45" t="s">
        <v>236</v>
      </c>
      <c r="AJ231" s="45">
        <v>0</v>
      </c>
      <c r="AK231" s="47">
        <v>0</v>
      </c>
    </row>
    <row r="232" spans="33:37" ht="18" customHeight="1">
      <c r="AG232" s="5"/>
      <c r="AI232" s="46" t="s">
        <v>237</v>
      </c>
      <c r="AJ232" s="46">
        <v>0</v>
      </c>
      <c r="AK232" s="48">
        <v>0</v>
      </c>
    </row>
    <row r="233" spans="33:37" ht="18" customHeight="1">
      <c r="AG233" s="5"/>
      <c r="AI233" s="45" t="s">
        <v>238</v>
      </c>
      <c r="AJ233" s="45">
        <v>0</v>
      </c>
      <c r="AK233" s="47">
        <v>0</v>
      </c>
    </row>
    <row r="234" spans="33:37" ht="18" customHeight="1">
      <c r="AG234" s="5"/>
      <c r="AI234" s="46" t="s">
        <v>239</v>
      </c>
      <c r="AJ234" s="46">
        <v>0</v>
      </c>
      <c r="AK234" s="48">
        <v>0</v>
      </c>
    </row>
    <row r="235" spans="33:37" ht="18" customHeight="1">
      <c r="AI235" s="45" t="s">
        <v>240</v>
      </c>
      <c r="AJ235" s="45">
        <v>0</v>
      </c>
      <c r="AK235" s="47">
        <v>0</v>
      </c>
    </row>
    <row r="236" spans="33:37" ht="18" customHeight="1">
      <c r="AI236" s="46" t="s">
        <v>241</v>
      </c>
      <c r="AJ236" s="46">
        <v>0</v>
      </c>
      <c r="AK236" s="48">
        <v>0</v>
      </c>
    </row>
    <row r="237" spans="33:37" ht="18" customHeight="1">
      <c r="AI237" s="45" t="s">
        <v>242</v>
      </c>
      <c r="AJ237" s="45">
        <v>0</v>
      </c>
      <c r="AK237" s="47">
        <v>0</v>
      </c>
    </row>
    <row r="238" spans="33:37" ht="18" customHeight="1">
      <c r="AI238" s="46" t="s">
        <v>243</v>
      </c>
      <c r="AJ238" s="46">
        <v>0</v>
      </c>
      <c r="AK238" s="48">
        <v>0</v>
      </c>
    </row>
    <row r="239" spans="33:37" ht="18" customHeight="1">
      <c r="AI239" s="45" t="s">
        <v>244</v>
      </c>
      <c r="AJ239" s="45">
        <v>0</v>
      </c>
      <c r="AK239" s="47">
        <v>0</v>
      </c>
    </row>
    <row r="240" spans="33:37" ht="18" customHeight="1">
      <c r="AI240" s="46" t="s">
        <v>245</v>
      </c>
      <c r="AJ240" s="46">
        <v>0</v>
      </c>
      <c r="AK240" s="48">
        <v>0</v>
      </c>
    </row>
    <row r="241" spans="35:37" ht="18" customHeight="1">
      <c r="AI241" s="45" t="s">
        <v>246</v>
      </c>
      <c r="AJ241" s="45">
        <v>0</v>
      </c>
      <c r="AK241" s="47">
        <v>0</v>
      </c>
    </row>
    <row r="242" spans="35:37" ht="18" customHeight="1">
      <c r="AI242" s="46" t="s">
        <v>247</v>
      </c>
      <c r="AJ242" s="46">
        <v>0</v>
      </c>
      <c r="AK242" s="48">
        <v>0</v>
      </c>
    </row>
    <row r="243" spans="35:37" ht="18" customHeight="1">
      <c r="AI243" s="45" t="s">
        <v>248</v>
      </c>
      <c r="AJ243" s="45">
        <v>0</v>
      </c>
      <c r="AK243" s="47">
        <v>0</v>
      </c>
    </row>
    <row r="244" spans="35:37" ht="18" customHeight="1">
      <c r="AI244" s="46" t="s">
        <v>249</v>
      </c>
      <c r="AJ244" s="46">
        <v>0</v>
      </c>
      <c r="AK244" s="48">
        <v>0</v>
      </c>
    </row>
    <row r="245" spans="35:37" ht="18" customHeight="1">
      <c r="AI245" s="45" t="s">
        <v>250</v>
      </c>
      <c r="AJ245" s="45">
        <v>0</v>
      </c>
      <c r="AK245" s="47">
        <v>0</v>
      </c>
    </row>
    <row r="246" spans="35:37" ht="18" customHeight="1">
      <c r="AI246" s="46" t="s">
        <v>251</v>
      </c>
      <c r="AJ246" s="46">
        <v>0</v>
      </c>
      <c r="AK246" s="48">
        <v>0</v>
      </c>
    </row>
    <row r="247" spans="35:37" ht="18" customHeight="1">
      <c r="AI247" s="45" t="s">
        <v>252</v>
      </c>
      <c r="AJ247" s="45">
        <v>0</v>
      </c>
      <c r="AK247" s="47">
        <v>0</v>
      </c>
    </row>
    <row r="248" spans="35:37" ht="18" customHeight="1">
      <c r="AI248" s="46" t="s">
        <v>253</v>
      </c>
      <c r="AJ248" s="46">
        <v>0</v>
      </c>
      <c r="AK248" s="48">
        <v>0</v>
      </c>
    </row>
    <row r="249" spans="35:37" ht="18" customHeight="1">
      <c r="AI249" s="45" t="s">
        <v>254</v>
      </c>
      <c r="AJ249" s="45">
        <v>0</v>
      </c>
      <c r="AK249" s="47">
        <v>0</v>
      </c>
    </row>
    <row r="250" spans="35:37" ht="18" customHeight="1">
      <c r="AI250" s="46" t="s">
        <v>255</v>
      </c>
      <c r="AJ250" s="46">
        <v>0</v>
      </c>
      <c r="AK250" s="48">
        <v>0</v>
      </c>
    </row>
    <row r="251" spans="35:37" ht="18" customHeight="1">
      <c r="AI251" s="45" t="s">
        <v>256</v>
      </c>
      <c r="AJ251" s="45">
        <v>0</v>
      </c>
      <c r="AK251" s="47">
        <v>0</v>
      </c>
    </row>
    <row r="252" spans="35:37" ht="18" customHeight="1">
      <c r="AI252" s="46" t="s">
        <v>257</v>
      </c>
      <c r="AJ252" s="46">
        <v>0</v>
      </c>
      <c r="AK252" s="48">
        <v>0</v>
      </c>
    </row>
    <row r="253" spans="35:37" ht="18" customHeight="1">
      <c r="AI253" s="45" t="s">
        <v>258</v>
      </c>
      <c r="AJ253" s="45">
        <v>0</v>
      </c>
      <c r="AK253" s="47">
        <v>0</v>
      </c>
    </row>
    <row r="254" spans="35:37" ht="18" customHeight="1">
      <c r="AI254" s="46" t="s">
        <v>259</v>
      </c>
      <c r="AJ254" s="46">
        <v>0</v>
      </c>
      <c r="AK254" s="48">
        <v>0</v>
      </c>
    </row>
    <row r="255" spans="35:37" ht="18" customHeight="1">
      <c r="AI255" s="45" t="s">
        <v>260</v>
      </c>
      <c r="AJ255" s="45">
        <v>0</v>
      </c>
      <c r="AK255" s="47">
        <v>0</v>
      </c>
    </row>
    <row r="256" spans="35:37" ht="18" customHeight="1">
      <c r="AI256" s="46" t="s">
        <v>261</v>
      </c>
      <c r="AJ256" s="46">
        <v>0</v>
      </c>
      <c r="AK256" s="48">
        <v>0</v>
      </c>
    </row>
    <row r="257" spans="35:37" ht="18" customHeight="1">
      <c r="AI257" s="45" t="s">
        <v>262</v>
      </c>
      <c r="AJ257" s="45">
        <v>0</v>
      </c>
      <c r="AK257" s="47">
        <v>0</v>
      </c>
    </row>
    <row r="258" spans="35:37" ht="18" customHeight="1">
      <c r="AI258" s="46" t="s">
        <v>263</v>
      </c>
      <c r="AJ258" s="46">
        <v>0</v>
      </c>
      <c r="AK258" s="48">
        <v>0</v>
      </c>
    </row>
    <row r="259" spans="35:37" ht="18" customHeight="1">
      <c r="AI259" s="45" t="s">
        <v>264</v>
      </c>
      <c r="AJ259" s="45">
        <v>0</v>
      </c>
      <c r="AK259" s="47">
        <v>0</v>
      </c>
    </row>
    <row r="260" spans="35:37" ht="18" customHeight="1">
      <c r="AI260" s="46" t="s">
        <v>265</v>
      </c>
      <c r="AJ260" s="46">
        <v>0</v>
      </c>
      <c r="AK260" s="48">
        <v>0</v>
      </c>
    </row>
    <row r="261" spans="35:37" ht="18" customHeight="1">
      <c r="AI261" s="45" t="s">
        <v>266</v>
      </c>
      <c r="AJ261" s="45">
        <v>0</v>
      </c>
      <c r="AK261" s="47">
        <v>0</v>
      </c>
    </row>
    <row r="262" spans="35:37" ht="18" customHeight="1">
      <c r="AI262" s="46" t="s">
        <v>267</v>
      </c>
      <c r="AJ262" s="46">
        <v>0</v>
      </c>
      <c r="AK262" s="48">
        <v>0</v>
      </c>
    </row>
    <row r="263" spans="35:37" ht="18" customHeight="1">
      <c r="AI263" s="45" t="s">
        <v>268</v>
      </c>
      <c r="AJ263" s="45">
        <v>0</v>
      </c>
      <c r="AK263" s="47">
        <v>0</v>
      </c>
    </row>
    <row r="264" spans="35:37" ht="18" customHeight="1">
      <c r="AI264" s="46" t="s">
        <v>269</v>
      </c>
      <c r="AJ264" s="46">
        <v>0</v>
      </c>
      <c r="AK264" s="48">
        <v>0</v>
      </c>
    </row>
    <row r="265" spans="35:37" ht="18" customHeight="1">
      <c r="AI265" s="45" t="s">
        <v>270</v>
      </c>
      <c r="AJ265" s="45">
        <v>0</v>
      </c>
      <c r="AK265" s="47">
        <v>0</v>
      </c>
    </row>
    <row r="266" spans="35:37" ht="18" customHeight="1">
      <c r="AI266" s="46" t="s">
        <v>271</v>
      </c>
      <c r="AJ266" s="46">
        <v>0</v>
      </c>
      <c r="AK266" s="48">
        <v>0</v>
      </c>
    </row>
    <row r="267" spans="35:37" ht="18" customHeight="1">
      <c r="AI267" s="45" t="s">
        <v>272</v>
      </c>
      <c r="AJ267" s="45">
        <v>0</v>
      </c>
      <c r="AK267" s="47">
        <v>0</v>
      </c>
    </row>
    <row r="268" spans="35:37" ht="18" customHeight="1">
      <c r="AI268" s="46" t="s">
        <v>273</v>
      </c>
      <c r="AJ268" s="46">
        <v>0</v>
      </c>
      <c r="AK268" s="48">
        <v>0</v>
      </c>
    </row>
    <row r="269" spans="35:37" ht="18" customHeight="1">
      <c r="AI269" s="45" t="s">
        <v>274</v>
      </c>
      <c r="AJ269" s="45">
        <v>0</v>
      </c>
      <c r="AK269" s="47">
        <v>0</v>
      </c>
    </row>
    <row r="270" spans="35:37" ht="18" customHeight="1">
      <c r="AI270" s="46" t="s">
        <v>275</v>
      </c>
      <c r="AJ270" s="46">
        <v>0</v>
      </c>
      <c r="AK270" s="48">
        <v>0</v>
      </c>
    </row>
    <row r="271" spans="35:37" ht="18" customHeight="1">
      <c r="AI271" s="45" t="s">
        <v>276</v>
      </c>
      <c r="AJ271" s="45">
        <v>0</v>
      </c>
      <c r="AK271" s="47">
        <v>0</v>
      </c>
    </row>
    <row r="272" spans="35:37" ht="18" customHeight="1">
      <c r="AI272" s="46" t="s">
        <v>277</v>
      </c>
      <c r="AJ272" s="46">
        <v>0</v>
      </c>
      <c r="AK272" s="48">
        <v>0</v>
      </c>
    </row>
    <row r="273" spans="35:37" ht="18" customHeight="1">
      <c r="AI273" s="45" t="s">
        <v>286</v>
      </c>
      <c r="AJ273" s="45">
        <v>0</v>
      </c>
      <c r="AK273" s="47">
        <v>0</v>
      </c>
    </row>
  </sheetData>
  <mergeCells count="5">
    <mergeCell ref="AP6:AQ6"/>
    <mergeCell ref="AP4:AQ4"/>
    <mergeCell ref="AG1:AH1"/>
    <mergeCell ref="D7:E7"/>
    <mergeCell ref="D1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Qbot_Click">
                <anchor moveWithCells="1" sizeWithCells="1">
                  <from>
                    <xdr:col>3</xdr:col>
                    <xdr:colOff>0</xdr:colOff>
                    <xdr:row>15</xdr:row>
                    <xdr:rowOff>9525</xdr:rowOff>
                  </from>
                  <to>
                    <xdr:col>5</xdr:col>
                    <xdr:colOff>9525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3A45C-697B-49B0-B4C2-C322ED1B2CDD}">
  <sheetPr codeName="Sheet1">
    <tabColor rgb="FF00CC66"/>
  </sheetPr>
  <dimension ref="A1:J25"/>
  <sheetViews>
    <sheetView zoomScale="145" zoomScaleNormal="145" workbookViewId="0">
      <selection activeCell="B14" sqref="B14"/>
    </sheetView>
  </sheetViews>
  <sheetFormatPr defaultRowHeight="15"/>
  <cols>
    <col min="1" max="1" width="17.85546875" bestFit="1" customWidth="1"/>
    <col min="5" max="5" width="14.5703125" bestFit="1" customWidth="1"/>
  </cols>
  <sheetData>
    <row r="1" spans="1:10" ht="15" customHeight="1">
      <c r="A1" s="71" t="s">
        <v>293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15" customHeight="1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 ht="16.5">
      <c r="A3" s="72" t="s">
        <v>294</v>
      </c>
      <c r="B3" s="72"/>
      <c r="C3" s="72"/>
      <c r="D3" s="72"/>
      <c r="E3" s="73" t="s">
        <v>295</v>
      </c>
      <c r="F3" s="73"/>
      <c r="G3" s="73"/>
      <c r="H3" s="73"/>
      <c r="I3" s="74" t="s">
        <v>296</v>
      </c>
      <c r="J3" s="74"/>
    </row>
    <row r="4" spans="1:10" ht="16.5">
      <c r="A4" s="63" t="s">
        <v>297</v>
      </c>
      <c r="B4" s="64" t="s">
        <v>20</v>
      </c>
      <c r="C4" s="64" t="s">
        <v>0</v>
      </c>
      <c r="D4" s="64" t="s">
        <v>2</v>
      </c>
      <c r="E4" s="63" t="s">
        <v>297</v>
      </c>
      <c r="F4" s="64" t="s">
        <v>20</v>
      </c>
      <c r="G4" s="64" t="s">
        <v>0</v>
      </c>
      <c r="H4" s="64" t="s">
        <v>2</v>
      </c>
      <c r="I4" s="65" t="s">
        <v>2</v>
      </c>
      <c r="J4" s="65" t="s">
        <v>298</v>
      </c>
    </row>
    <row r="5" spans="1:10">
      <c r="A5" s="53"/>
      <c r="B5" s="66"/>
      <c r="C5" s="53"/>
      <c r="D5" s="53"/>
      <c r="E5" s="53"/>
      <c r="F5" s="66"/>
      <c r="G5" s="53"/>
      <c r="H5" s="53"/>
      <c r="I5" s="53"/>
      <c r="J5" s="53"/>
    </row>
    <row r="6" spans="1:10">
      <c r="A6" s="53"/>
      <c r="B6" s="66"/>
      <c r="C6" s="53"/>
      <c r="D6" s="53"/>
      <c r="E6" s="53"/>
      <c r="F6" s="66"/>
      <c r="G6" s="53"/>
      <c r="H6" s="53"/>
      <c r="I6" s="53"/>
      <c r="J6" s="53"/>
    </row>
    <row r="7" spans="1:10">
      <c r="A7" s="53"/>
      <c r="B7" s="66"/>
      <c r="C7" s="53"/>
      <c r="D7" s="53"/>
      <c r="E7" s="53"/>
      <c r="F7" s="66"/>
      <c r="G7" s="53"/>
      <c r="H7" s="53"/>
      <c r="I7" s="53"/>
      <c r="J7" s="53"/>
    </row>
    <row r="8" spans="1:10">
      <c r="A8" s="53"/>
      <c r="B8" s="66"/>
      <c r="C8" s="53"/>
      <c r="D8" s="53"/>
      <c r="E8" s="53"/>
      <c r="F8" s="66"/>
      <c r="G8" s="53"/>
      <c r="H8" s="53"/>
      <c r="I8" s="53"/>
      <c r="J8" s="53"/>
    </row>
    <row r="9" spans="1:10">
      <c r="A9" s="53"/>
      <c r="B9" s="66"/>
      <c r="C9" s="53"/>
      <c r="D9" s="53"/>
      <c r="E9" s="53"/>
      <c r="F9" s="66"/>
      <c r="G9" s="53"/>
      <c r="H9" s="53"/>
      <c r="I9" s="53"/>
      <c r="J9" s="53"/>
    </row>
    <row r="10" spans="1:10">
      <c r="A10" s="53"/>
      <c r="B10" s="66"/>
      <c r="C10" s="53"/>
      <c r="D10" s="53"/>
      <c r="E10" s="53"/>
      <c r="F10" s="66"/>
      <c r="G10" s="53"/>
      <c r="H10" s="53"/>
      <c r="I10" s="53"/>
      <c r="J10" s="53"/>
    </row>
    <row r="11" spans="1:10">
      <c r="A11" s="53"/>
      <c r="B11" s="66"/>
      <c r="C11" s="53"/>
      <c r="D11" s="53"/>
      <c r="E11" s="53"/>
      <c r="F11" s="66"/>
      <c r="G11" s="53"/>
      <c r="H11" s="53"/>
      <c r="I11" s="53"/>
      <c r="J11" s="53"/>
    </row>
    <row r="12" spans="1:10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0">
      <c r="A13" s="53"/>
      <c r="B13" s="53"/>
      <c r="C13" s="53"/>
      <c r="D13" s="53"/>
      <c r="E13" s="53"/>
      <c r="F13" s="53"/>
      <c r="G13" s="53"/>
      <c r="H13" s="53"/>
      <c r="I13" s="53"/>
      <c r="J13" s="53"/>
    </row>
    <row r="14" spans="1:10">
      <c r="A14" s="53"/>
      <c r="B14" s="53"/>
      <c r="C14" s="53"/>
      <c r="D14" s="53"/>
      <c r="E14" s="53"/>
      <c r="F14" s="53"/>
      <c r="G14" s="53"/>
      <c r="H14" s="53"/>
      <c r="I14" s="53"/>
      <c r="J14" s="53"/>
    </row>
    <row r="15" spans="1:10">
      <c r="A15" s="53"/>
      <c r="B15" s="53"/>
      <c r="C15" s="53"/>
      <c r="D15" s="53"/>
      <c r="E15" s="53"/>
      <c r="F15" s="53"/>
      <c r="G15" s="53"/>
      <c r="H15" s="53"/>
      <c r="I15" s="53"/>
      <c r="J15" s="53"/>
    </row>
    <row r="16" spans="1:10">
      <c r="A16" s="53"/>
      <c r="B16" s="53"/>
      <c r="C16" s="53"/>
      <c r="D16" s="53"/>
      <c r="E16" s="53"/>
      <c r="F16" s="53"/>
      <c r="G16" s="53"/>
      <c r="H16" s="53"/>
      <c r="I16" s="53"/>
      <c r="J16" s="53"/>
    </row>
    <row r="17" spans="1:10">
      <c r="A17" s="53"/>
      <c r="B17" s="53"/>
      <c r="C17" s="53"/>
      <c r="D17" s="53"/>
      <c r="E17" s="53"/>
      <c r="F17" s="53"/>
      <c r="G17" s="53"/>
      <c r="H17" s="53"/>
      <c r="I17" s="53"/>
      <c r="J17" s="53"/>
    </row>
    <row r="18" spans="1:10">
      <c r="A18" s="53"/>
      <c r="B18" s="53"/>
      <c r="C18" s="53"/>
      <c r="D18" s="53"/>
      <c r="E18" s="53"/>
      <c r="F18" s="53"/>
      <c r="G18" s="53"/>
      <c r="H18" s="53"/>
      <c r="I18" s="53"/>
      <c r="J18" s="53"/>
    </row>
    <row r="19" spans="1:10">
      <c r="A19" s="53"/>
      <c r="B19" s="53"/>
      <c r="C19" s="53"/>
      <c r="D19" s="53"/>
      <c r="E19" s="53"/>
      <c r="F19" s="53"/>
      <c r="G19" s="53"/>
      <c r="H19" s="53"/>
      <c r="I19" s="53"/>
      <c r="J19" s="53"/>
    </row>
    <row r="20" spans="1:10">
      <c r="A20" s="53"/>
      <c r="B20" s="53"/>
      <c r="C20" s="53"/>
      <c r="D20" s="53"/>
      <c r="E20" s="53"/>
      <c r="F20" s="53"/>
      <c r="G20" s="53"/>
      <c r="H20" s="53"/>
      <c r="I20" s="53"/>
      <c r="J20" s="53"/>
    </row>
    <row r="21" spans="1:10">
      <c r="A21" s="53"/>
      <c r="B21" s="53"/>
      <c r="C21" s="53"/>
      <c r="D21" s="53"/>
      <c r="E21" s="53"/>
      <c r="F21" s="53"/>
      <c r="G21" s="53"/>
      <c r="H21" s="53"/>
      <c r="I21" s="53"/>
      <c r="J21" s="53"/>
    </row>
    <row r="22" spans="1:10">
      <c r="A22" s="53"/>
      <c r="B22" s="53"/>
      <c r="C22" s="53"/>
      <c r="D22" s="53"/>
      <c r="E22" s="53"/>
      <c r="F22" s="53"/>
      <c r="G22" s="53"/>
      <c r="H22" s="53"/>
      <c r="I22" s="53"/>
      <c r="J22" s="53"/>
    </row>
    <row r="23" spans="1:10">
      <c r="A23" s="53"/>
      <c r="B23" s="53"/>
      <c r="C23" s="53"/>
      <c r="D23" s="53"/>
      <c r="E23" s="53"/>
      <c r="F23" s="53"/>
      <c r="G23" s="53"/>
      <c r="H23" s="53"/>
      <c r="I23" s="53"/>
      <c r="J23" s="53"/>
    </row>
    <row r="24" spans="1:10">
      <c r="A24" s="53"/>
      <c r="B24" s="53"/>
      <c r="C24" s="53"/>
      <c r="D24" s="53"/>
      <c r="E24" s="53"/>
      <c r="F24" s="53"/>
      <c r="G24" s="53"/>
      <c r="H24" s="53"/>
      <c r="I24" s="53"/>
      <c r="J24" s="53"/>
    </row>
    <row r="25" spans="1:10">
      <c r="A25" s="53"/>
      <c r="B25" s="53"/>
      <c r="C25" s="53"/>
      <c r="D25" s="53"/>
      <c r="E25" s="53"/>
      <c r="F25" s="53"/>
      <c r="G25" s="53"/>
      <c r="H25" s="53"/>
      <c r="I25" s="53"/>
      <c r="J25" s="53"/>
    </row>
  </sheetData>
  <mergeCells count="4">
    <mergeCell ref="A1:J2"/>
    <mergeCell ref="A3:D3"/>
    <mergeCell ref="E3:H3"/>
    <mergeCell ref="I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3:B12"/>
  <sheetViews>
    <sheetView workbookViewId="0">
      <selection activeCell="B19" sqref="B19"/>
    </sheetView>
  </sheetViews>
  <sheetFormatPr defaultRowHeight="15"/>
  <cols>
    <col min="2" max="2" width="14.5703125" bestFit="1" customWidth="1"/>
  </cols>
  <sheetData>
    <row r="3" spans="1:2">
      <c r="A3" t="s">
        <v>19</v>
      </c>
      <c r="B3" t="s">
        <v>20</v>
      </c>
    </row>
    <row r="4" spans="1:2">
      <c r="A4" t="s">
        <v>16</v>
      </c>
      <c r="B4" s="13">
        <v>9777.06</v>
      </c>
    </row>
    <row r="5" spans="1:2">
      <c r="A5" t="s">
        <v>17</v>
      </c>
      <c r="B5" s="13">
        <v>213.69</v>
      </c>
    </row>
    <row r="6" spans="1:2">
      <c r="A6" t="s">
        <v>18</v>
      </c>
      <c r="B6" s="13">
        <v>16.767499999999998</v>
      </c>
    </row>
    <row r="7" spans="1:2">
      <c r="A7" t="s">
        <v>15</v>
      </c>
      <c r="B7" s="13">
        <v>7.8414999999999999E-2</v>
      </c>
    </row>
    <row r="8" spans="1:2">
      <c r="A8" t="s">
        <v>13</v>
      </c>
      <c r="B8" s="13">
        <v>2.1853000000000001E-2</v>
      </c>
    </row>
    <row r="9" spans="1:2">
      <c r="A9" t="s">
        <v>14</v>
      </c>
      <c r="B9" s="13">
        <v>1.7152999999999999E-3</v>
      </c>
    </row>
    <row r="10" spans="1:2">
      <c r="A10" t="s">
        <v>22</v>
      </c>
      <c r="B10">
        <v>2.0970000000000001E-5</v>
      </c>
    </row>
    <row r="11" spans="1:2">
      <c r="A11" t="s">
        <v>23</v>
      </c>
      <c r="B11">
        <v>9.6022000000000002E-4</v>
      </c>
    </row>
    <row r="12" spans="1:2">
      <c r="A12" t="s">
        <v>24</v>
      </c>
      <c r="B12">
        <v>0.20505000000000001</v>
      </c>
    </row>
  </sheetData>
  <autoFilter ref="A3:B3" xr:uid="{00000000-0009-0000-0000-000004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61"/>
  <sheetViews>
    <sheetView workbookViewId="0">
      <selection activeCell="C7" sqref="C6:C7"/>
    </sheetView>
  </sheetViews>
  <sheetFormatPr defaultRowHeight="15"/>
  <cols>
    <col min="1" max="1" width="2.5703125" customWidth="1"/>
    <col min="2" max="2" width="19.140625" customWidth="1"/>
    <col min="3" max="3" width="13.140625" customWidth="1"/>
    <col min="4" max="4" width="17.42578125" bestFit="1" customWidth="1"/>
    <col min="5" max="5" width="13.5703125" bestFit="1" customWidth="1"/>
    <col min="6" max="6" width="14.42578125" bestFit="1" customWidth="1"/>
  </cols>
  <sheetData>
    <row r="1" spans="1:6">
      <c r="A1" s="14"/>
      <c r="B1" s="14"/>
      <c r="C1" s="14"/>
      <c r="D1" s="14"/>
      <c r="E1" s="14"/>
      <c r="F1" s="14"/>
    </row>
    <row r="2" spans="1:6" ht="18">
      <c r="A2" s="14"/>
      <c r="B2" s="15" t="s">
        <v>25</v>
      </c>
      <c r="C2" s="14"/>
      <c r="D2" s="14"/>
      <c r="E2" s="14"/>
      <c r="F2" s="14"/>
    </row>
    <row r="3" spans="1:6">
      <c r="A3" s="14"/>
      <c r="B3" s="16" t="s">
        <v>26</v>
      </c>
      <c r="C3" s="14"/>
      <c r="D3" s="14"/>
      <c r="E3" s="14"/>
      <c r="F3" s="14"/>
    </row>
    <row r="4" spans="1:6">
      <c r="A4" s="14"/>
      <c r="B4" s="14" t="s">
        <v>27</v>
      </c>
      <c r="C4" s="14"/>
      <c r="D4" s="14"/>
      <c r="E4" s="14"/>
      <c r="F4" s="14"/>
    </row>
    <row r="5" spans="1:6">
      <c r="A5" s="14"/>
      <c r="B5" s="14"/>
      <c r="C5" s="14"/>
      <c r="D5" s="14"/>
      <c r="E5" s="14"/>
      <c r="F5" s="14"/>
    </row>
    <row r="6" spans="1:6">
      <c r="A6" s="14"/>
      <c r="B6" s="17" t="s">
        <v>28</v>
      </c>
      <c r="C6" s="18"/>
      <c r="D6" s="14"/>
      <c r="E6" s="14"/>
      <c r="F6" s="14"/>
    </row>
    <row r="7" spans="1:6">
      <c r="A7" s="14"/>
      <c r="B7" s="17" t="s">
        <v>29</v>
      </c>
      <c r="C7" s="18"/>
      <c r="D7" s="14"/>
      <c r="E7" s="14"/>
      <c r="F7" s="14"/>
    </row>
    <row r="8" spans="1:6">
      <c r="A8" s="14"/>
      <c r="B8" s="14"/>
      <c r="C8" s="14"/>
      <c r="D8" s="14"/>
      <c r="E8" s="14"/>
      <c r="F8" s="14"/>
    </row>
    <row r="9" spans="1:6">
      <c r="A9" s="14"/>
      <c r="B9" s="14"/>
      <c r="C9" s="14"/>
      <c r="D9" s="14"/>
      <c r="E9" s="14"/>
      <c r="F9" s="14"/>
    </row>
    <row r="10" spans="1:6">
      <c r="A10" s="14"/>
      <c r="B10" s="14"/>
      <c r="C10" s="14"/>
      <c r="D10" s="14"/>
      <c r="E10" s="14"/>
      <c r="F10" s="14"/>
    </row>
    <row r="11" spans="1:6">
      <c r="A11" s="17" t="s">
        <v>30</v>
      </c>
      <c r="B11" s="14"/>
      <c r="C11" s="14"/>
      <c r="D11" s="14"/>
      <c r="E11" s="14"/>
      <c r="F11" s="14"/>
    </row>
    <row r="12" spans="1:6">
      <c r="A12" s="17"/>
      <c r="B12" s="14"/>
      <c r="C12" s="14"/>
      <c r="D12" s="14"/>
      <c r="E12" s="14"/>
      <c r="F12" s="14"/>
    </row>
    <row r="13" spans="1:6" ht="24">
      <c r="A13" s="14"/>
      <c r="B13" s="44" t="s">
        <v>299</v>
      </c>
      <c r="C13" s="14"/>
      <c r="D13" s="14"/>
      <c r="E13" s="14"/>
      <c r="F13" s="14"/>
    </row>
    <row r="14" spans="1:6">
      <c r="A14" s="14"/>
      <c r="B14" s="14"/>
      <c r="C14" s="14"/>
      <c r="D14" s="14"/>
      <c r="E14" s="14"/>
      <c r="F14" s="14"/>
    </row>
    <row r="15" spans="1:6">
      <c r="A15" s="17" t="s">
        <v>31</v>
      </c>
      <c r="B15" s="14"/>
      <c r="C15" s="14"/>
      <c r="D15" s="14"/>
      <c r="E15" s="14"/>
      <c r="F15" s="14"/>
    </row>
    <row r="16" spans="1:6" ht="15.75" thickBot="1">
      <c r="A16" s="14"/>
      <c r="B16" s="19"/>
      <c r="C16" s="20"/>
      <c r="D16" s="20"/>
      <c r="E16" s="20"/>
      <c r="F16" s="20"/>
    </row>
    <row r="17" spans="1:6">
      <c r="A17" s="14"/>
      <c r="B17" s="21" t="s">
        <v>32</v>
      </c>
      <c r="C17" s="22" t="s">
        <v>33</v>
      </c>
      <c r="D17" s="22" t="s">
        <v>34</v>
      </c>
      <c r="E17" s="22" t="s">
        <v>35</v>
      </c>
      <c r="F17" s="23" t="s">
        <v>36</v>
      </c>
    </row>
    <row r="18" spans="1:6" ht="15.75" thickBot="1">
      <c r="A18" s="14"/>
      <c r="B18" s="24">
        <v>1</v>
      </c>
      <c r="C18" s="25" t="s">
        <v>37</v>
      </c>
      <c r="D18" s="25" t="s">
        <v>60</v>
      </c>
      <c r="E18" s="26">
        <v>1589884462734</v>
      </c>
      <c r="F18" s="27" t="s">
        <v>38</v>
      </c>
    </row>
    <row r="19" spans="1:6">
      <c r="A19" s="14"/>
      <c r="B19" s="14">
        <v>1</v>
      </c>
      <c r="C19" s="14" t="s">
        <v>37</v>
      </c>
      <c r="D19" s="14" t="s">
        <v>51</v>
      </c>
      <c r="E19" s="14" t="s">
        <v>59</v>
      </c>
      <c r="F19" s="14" t="s">
        <v>38</v>
      </c>
    </row>
    <row r="20" spans="1:6">
      <c r="A20" s="14"/>
      <c r="B20" s="14">
        <v>1</v>
      </c>
      <c r="C20" s="14" t="s">
        <v>37</v>
      </c>
      <c r="D20" s="14" t="s">
        <v>52</v>
      </c>
      <c r="E20" s="14">
        <v>0</v>
      </c>
      <c r="F20" s="14" t="s">
        <v>38</v>
      </c>
    </row>
    <row r="21" spans="1:6">
      <c r="A21" s="17" t="s">
        <v>39</v>
      </c>
      <c r="B21" s="14"/>
      <c r="C21" s="14"/>
      <c r="D21" s="14"/>
      <c r="E21" s="14"/>
      <c r="F21" s="14"/>
    </row>
    <row r="22" spans="1:6">
      <c r="A22" s="14"/>
      <c r="B22" s="14"/>
      <c r="C22" s="14"/>
      <c r="D22" s="14"/>
      <c r="E22" s="14"/>
      <c r="F22" s="14"/>
    </row>
    <row r="23" spans="1:6" ht="15.75" thickBot="1">
      <c r="A23" s="14"/>
      <c r="B23" s="19" t="s">
        <v>40</v>
      </c>
      <c r="C23" s="14"/>
      <c r="D23" s="19" t="s">
        <v>41</v>
      </c>
      <c r="E23" s="19"/>
      <c r="F23" s="19"/>
    </row>
    <row r="24" spans="1:6">
      <c r="A24" s="14"/>
      <c r="B24" s="28" t="s">
        <v>60</v>
      </c>
      <c r="C24" s="14" t="s">
        <v>51</v>
      </c>
      <c r="D24" s="21" t="s">
        <v>52</v>
      </c>
      <c r="E24" s="22" t="s">
        <v>42</v>
      </c>
      <c r="F24" s="23" t="s">
        <v>43</v>
      </c>
    </row>
    <row r="25" spans="1:6" ht="15.75" thickBot="1">
      <c r="A25" s="14"/>
      <c r="B25" s="29">
        <v>1589884462734</v>
      </c>
      <c r="C25" s="14" t="s">
        <v>59</v>
      </c>
      <c r="D25" s="30">
        <v>18725362462510</v>
      </c>
      <c r="E25" s="26">
        <f>B25-D25</f>
        <v>-17135477999776</v>
      </c>
      <c r="F25" s="31" t="e">
        <f>UnixTimeToDate(D25/1000)</f>
        <v>#NUM!</v>
      </c>
    </row>
    <row r="26" spans="1:6">
      <c r="A26" s="14"/>
      <c r="B26" s="14"/>
      <c r="C26" s="14"/>
      <c r="D26" s="14"/>
      <c r="E26" s="14"/>
      <c r="F26" s="14"/>
    </row>
    <row r="27" spans="1:6">
      <c r="A27" s="14"/>
      <c r="B27" s="14"/>
      <c r="C27" s="14"/>
      <c r="D27" s="14"/>
      <c r="E27" s="14"/>
      <c r="F27" s="14"/>
    </row>
    <row r="28" spans="1:6">
      <c r="A28" s="17" t="s">
        <v>44</v>
      </c>
      <c r="B28" s="14"/>
      <c r="C28" s="14"/>
      <c r="D28" s="14"/>
      <c r="E28" s="14"/>
      <c r="F28" s="14"/>
    </row>
    <row r="29" spans="1:6">
      <c r="A29" s="14"/>
      <c r="B29" s="14"/>
      <c r="C29" s="14"/>
      <c r="D29" s="14"/>
      <c r="E29" s="14"/>
      <c r="F29" s="14"/>
    </row>
    <row r="30" spans="1:6">
      <c r="A30" s="14"/>
      <c r="B30" s="19" t="s">
        <v>45</v>
      </c>
      <c r="C30" s="19"/>
      <c r="D30" s="19"/>
      <c r="E30" s="19"/>
      <c r="F30" s="19"/>
    </row>
    <row r="31" spans="1:6">
      <c r="A31" s="14"/>
      <c r="B31" s="14" t="s">
        <v>46</v>
      </c>
      <c r="C31" s="14" t="s">
        <v>47</v>
      </c>
      <c r="D31" s="14" t="s">
        <v>48</v>
      </c>
      <c r="E31" s="14" t="s">
        <v>49</v>
      </c>
      <c r="F31" s="14" t="s">
        <v>50</v>
      </c>
    </row>
    <row r="32" spans="1:6">
      <c r="A32" s="14"/>
      <c r="B32" s="14" t="s">
        <v>61</v>
      </c>
      <c r="C32" s="14">
        <v>1</v>
      </c>
      <c r="D32" s="14" t="s">
        <v>0</v>
      </c>
      <c r="E32" s="14">
        <v>3.1798999999999998E-4</v>
      </c>
      <c r="F32" s="14">
        <v>0</v>
      </c>
    </row>
    <row r="33" spans="1:6">
      <c r="A33" s="14"/>
      <c r="B33" s="14" t="s">
        <v>61</v>
      </c>
      <c r="C33" s="14">
        <v>2</v>
      </c>
      <c r="D33" s="14" t="s">
        <v>62</v>
      </c>
      <c r="E33" s="14">
        <v>0</v>
      </c>
      <c r="F33" s="14">
        <v>0</v>
      </c>
    </row>
    <row r="34" spans="1:6">
      <c r="A34" s="14"/>
      <c r="B34" s="14" t="s">
        <v>61</v>
      </c>
      <c r="C34" s="14">
        <v>3</v>
      </c>
      <c r="D34" s="14" t="s">
        <v>1</v>
      </c>
      <c r="E34" s="14">
        <v>0</v>
      </c>
      <c r="F34" s="14">
        <v>0</v>
      </c>
    </row>
    <row r="35" spans="1:6">
      <c r="A35" s="14"/>
      <c r="B35" s="14" t="s">
        <v>61</v>
      </c>
      <c r="C35" s="14">
        <v>4</v>
      </c>
      <c r="D35" s="14" t="s">
        <v>63</v>
      </c>
      <c r="E35" s="14">
        <v>0</v>
      </c>
      <c r="F35" s="14">
        <v>0</v>
      </c>
    </row>
    <row r="36" spans="1:6">
      <c r="A36" s="14"/>
      <c r="B36" s="14" t="s">
        <v>61</v>
      </c>
      <c r="C36" s="14">
        <v>5</v>
      </c>
      <c r="D36" s="14" t="s">
        <v>8</v>
      </c>
      <c r="E36" s="14">
        <v>0.40403941999999998</v>
      </c>
      <c r="F36" s="14">
        <v>0</v>
      </c>
    </row>
    <row r="37" spans="1:6">
      <c r="A37" s="14"/>
      <c r="B37" s="14" t="s">
        <v>61</v>
      </c>
      <c r="C37" s="14">
        <v>6</v>
      </c>
      <c r="D37" s="14" t="s">
        <v>64</v>
      </c>
      <c r="E37" s="14">
        <v>0</v>
      </c>
      <c r="F37" s="14">
        <v>0</v>
      </c>
    </row>
    <row r="38" spans="1:6">
      <c r="A38" s="14"/>
      <c r="B38" s="14" t="s">
        <v>61</v>
      </c>
      <c r="C38" s="14">
        <v>7</v>
      </c>
      <c r="D38" s="14" t="s">
        <v>65</v>
      </c>
      <c r="E38" s="14">
        <v>0</v>
      </c>
      <c r="F38" s="14">
        <v>0</v>
      </c>
    </row>
    <row r="39" spans="1:6">
      <c r="A39" s="14"/>
      <c r="B39" s="14" t="s">
        <v>61</v>
      </c>
      <c r="C39" s="14">
        <v>8</v>
      </c>
      <c r="D39" s="14" t="s">
        <v>66</v>
      </c>
      <c r="E39" s="14">
        <v>0</v>
      </c>
      <c r="F39" s="14">
        <v>0</v>
      </c>
    </row>
    <row r="40" spans="1:6">
      <c r="A40" s="14"/>
      <c r="B40" s="14" t="s">
        <v>61</v>
      </c>
      <c r="C40" s="14">
        <v>9</v>
      </c>
      <c r="D40" s="14" t="s">
        <v>67</v>
      </c>
      <c r="E40" s="14">
        <v>0</v>
      </c>
      <c r="F40" s="14">
        <v>0</v>
      </c>
    </row>
    <row r="41" spans="1:6">
      <c r="A41" s="14"/>
      <c r="B41" s="14" t="s">
        <v>61</v>
      </c>
      <c r="C41" s="14">
        <v>10</v>
      </c>
      <c r="D41" s="14" t="s">
        <v>68</v>
      </c>
      <c r="E41" s="14">
        <v>0</v>
      </c>
      <c r="F41" s="14">
        <v>0</v>
      </c>
    </row>
    <row r="42" spans="1:6">
      <c r="A42" s="14"/>
      <c r="B42" s="14" t="s">
        <v>61</v>
      </c>
      <c r="C42" s="14">
        <v>11</v>
      </c>
      <c r="D42" s="14" t="s">
        <v>69</v>
      </c>
      <c r="E42" s="14">
        <v>0</v>
      </c>
      <c r="F42" s="14">
        <v>0</v>
      </c>
    </row>
    <row r="43" spans="1:6">
      <c r="A43" s="14"/>
      <c r="B43" s="14" t="s">
        <v>61</v>
      </c>
      <c r="C43" s="14">
        <v>12</v>
      </c>
      <c r="D43" s="14" t="s">
        <v>2</v>
      </c>
      <c r="E43" s="14">
        <v>409.58618226999999</v>
      </c>
      <c r="F43" s="14">
        <v>100.00000513000001</v>
      </c>
    </row>
    <row r="44" spans="1:6">
      <c r="A44" s="14"/>
      <c r="B44" s="14" t="s">
        <v>61</v>
      </c>
      <c r="C44" s="14">
        <v>13</v>
      </c>
      <c r="D44" s="14" t="s">
        <v>70</v>
      </c>
      <c r="E44" s="14">
        <v>0</v>
      </c>
      <c r="F44" s="14">
        <v>0</v>
      </c>
    </row>
    <row r="45" spans="1:6">
      <c r="A45" s="14"/>
      <c r="B45" s="14" t="s">
        <v>61</v>
      </c>
      <c r="C45" s="14">
        <v>14</v>
      </c>
      <c r="D45" s="14" t="s">
        <v>71</v>
      </c>
      <c r="E45" s="14">
        <v>0</v>
      </c>
      <c r="F45" s="14">
        <v>0</v>
      </c>
    </row>
    <row r="46" spans="1:6">
      <c r="A46" s="14"/>
      <c r="B46" s="14" t="s">
        <v>61</v>
      </c>
      <c r="C46" s="14">
        <v>15</v>
      </c>
      <c r="D46" s="14" t="s">
        <v>72</v>
      </c>
      <c r="E46" s="14">
        <v>0</v>
      </c>
      <c r="F46" s="14">
        <v>0</v>
      </c>
    </row>
    <row r="47" spans="1:6">
      <c r="A47" s="14"/>
      <c r="B47" s="14" t="s">
        <v>61</v>
      </c>
      <c r="C47" s="14">
        <v>16</v>
      </c>
      <c r="D47" s="14" t="s">
        <v>73</v>
      </c>
      <c r="E47" s="14">
        <v>0</v>
      </c>
      <c r="F47" s="14">
        <v>0</v>
      </c>
    </row>
    <row r="48" spans="1:6">
      <c r="A48" s="14"/>
      <c r="B48" s="14" t="s">
        <v>61</v>
      </c>
      <c r="C48" s="14">
        <v>17</v>
      </c>
      <c r="D48" s="14" t="s">
        <v>74</v>
      </c>
      <c r="E48" s="14">
        <v>0</v>
      </c>
      <c r="F48" s="14">
        <v>0</v>
      </c>
    </row>
    <row r="49" spans="1:6">
      <c r="A49" s="14"/>
      <c r="B49" s="14" t="s">
        <v>61</v>
      </c>
      <c r="C49" s="14">
        <v>18</v>
      </c>
      <c r="D49" s="14" t="s">
        <v>75</v>
      </c>
      <c r="E49" s="14">
        <v>0</v>
      </c>
      <c r="F49" s="14">
        <v>0</v>
      </c>
    </row>
    <row r="50" spans="1:6">
      <c r="A50" s="14"/>
      <c r="B50" s="14" t="s">
        <v>61</v>
      </c>
      <c r="C50" s="14">
        <v>19</v>
      </c>
      <c r="D50" s="14" t="s">
        <v>76</v>
      </c>
      <c r="E50" s="14">
        <v>0</v>
      </c>
      <c r="F50" s="14">
        <v>0</v>
      </c>
    </row>
    <row r="51" spans="1:6">
      <c r="A51" s="14"/>
      <c r="B51" s="14" t="s">
        <v>61</v>
      </c>
      <c r="C51" s="14">
        <v>20</v>
      </c>
      <c r="D51" s="14" t="s">
        <v>77</v>
      </c>
      <c r="E51" s="14">
        <v>0</v>
      </c>
      <c r="F51" s="14">
        <v>0</v>
      </c>
    </row>
    <row r="52" spans="1:6">
      <c r="A52" s="14"/>
      <c r="B52" s="14" t="s">
        <v>61</v>
      </c>
      <c r="C52" s="14">
        <v>21</v>
      </c>
      <c r="D52" s="14" t="s">
        <v>78</v>
      </c>
      <c r="E52" s="14">
        <v>0</v>
      </c>
      <c r="F52" s="14">
        <v>0</v>
      </c>
    </row>
    <row r="53" spans="1:6">
      <c r="A53" s="14"/>
      <c r="B53" s="14" t="s">
        <v>61</v>
      </c>
      <c r="C53" s="14">
        <v>22</v>
      </c>
      <c r="D53" s="14" t="s">
        <v>79</v>
      </c>
      <c r="E53" s="14">
        <v>0</v>
      </c>
      <c r="F53" s="14">
        <v>0</v>
      </c>
    </row>
    <row r="54" spans="1:6">
      <c r="A54" s="14"/>
      <c r="B54" s="14" t="s">
        <v>61</v>
      </c>
      <c r="C54" s="14">
        <v>23</v>
      </c>
      <c r="D54" s="14" t="s">
        <v>80</v>
      </c>
      <c r="E54" s="14">
        <v>0</v>
      </c>
      <c r="F54" s="14">
        <v>0</v>
      </c>
    </row>
    <row r="55" spans="1:6">
      <c r="A55" s="14"/>
      <c r="B55" s="14" t="s">
        <v>61</v>
      </c>
      <c r="C55" s="14">
        <v>24</v>
      </c>
      <c r="D55" s="14" t="s">
        <v>81</v>
      </c>
      <c r="E55" s="14">
        <v>0</v>
      </c>
      <c r="F55" s="14">
        <v>0</v>
      </c>
    </row>
    <row r="56" spans="1:6">
      <c r="A56" s="14"/>
      <c r="B56" s="14" t="s">
        <v>61</v>
      </c>
      <c r="C56" s="14">
        <v>25</v>
      </c>
      <c r="D56" s="14" t="s">
        <v>82</v>
      </c>
      <c r="E56" s="14">
        <v>0</v>
      </c>
      <c r="F56" s="14">
        <v>0</v>
      </c>
    </row>
    <row r="57" spans="1:6">
      <c r="A57" s="14"/>
      <c r="B57" s="14" t="s">
        <v>61</v>
      </c>
      <c r="C57" s="14">
        <v>26</v>
      </c>
      <c r="D57" s="14" t="s">
        <v>83</v>
      </c>
      <c r="E57" s="14">
        <v>0</v>
      </c>
      <c r="F57" s="14">
        <v>0</v>
      </c>
    </row>
    <row r="58" spans="1:6">
      <c r="A58" s="14"/>
      <c r="B58" s="14" t="s">
        <v>61</v>
      </c>
      <c r="C58" s="14">
        <v>27</v>
      </c>
      <c r="D58" s="14" t="s">
        <v>84</v>
      </c>
      <c r="E58" s="14">
        <v>0</v>
      </c>
      <c r="F58" s="14">
        <v>0</v>
      </c>
    </row>
    <row r="59" spans="1:6">
      <c r="A59" s="14"/>
      <c r="B59" s="14" t="s">
        <v>61</v>
      </c>
      <c r="C59" s="14">
        <v>28</v>
      </c>
      <c r="D59" s="14" t="s">
        <v>85</v>
      </c>
      <c r="E59" s="14">
        <v>0</v>
      </c>
      <c r="F59" s="14">
        <v>0</v>
      </c>
    </row>
    <row r="60" spans="1:6">
      <c r="A60" s="14"/>
      <c r="B60" s="14" t="s">
        <v>61</v>
      </c>
      <c r="C60" s="14">
        <v>29</v>
      </c>
      <c r="D60" s="14" t="s">
        <v>86</v>
      </c>
      <c r="E60" s="14">
        <v>0</v>
      </c>
      <c r="F60" s="14">
        <v>0</v>
      </c>
    </row>
    <row r="61" spans="1:6">
      <c r="A61" s="14"/>
      <c r="B61" s="14" t="s">
        <v>61</v>
      </c>
      <c r="C61" s="14">
        <v>30</v>
      </c>
      <c r="D61" s="14" t="s">
        <v>87</v>
      </c>
      <c r="E61" s="14">
        <v>0</v>
      </c>
      <c r="F61" s="14">
        <v>0</v>
      </c>
    </row>
    <row r="62" spans="1:6">
      <c r="A62" s="14"/>
      <c r="B62" s="14" t="s">
        <v>61</v>
      </c>
      <c r="C62" s="14">
        <v>31</v>
      </c>
      <c r="D62" s="14" t="s">
        <v>88</v>
      </c>
      <c r="E62" s="14">
        <v>0</v>
      </c>
      <c r="F62" s="14">
        <v>0</v>
      </c>
    </row>
    <row r="63" spans="1:6">
      <c r="A63" s="14"/>
      <c r="B63" s="14" t="s">
        <v>61</v>
      </c>
      <c r="C63" s="14">
        <v>32</v>
      </c>
      <c r="D63" s="14" t="s">
        <v>89</v>
      </c>
      <c r="E63" s="14">
        <v>0</v>
      </c>
      <c r="F63" s="14">
        <v>0</v>
      </c>
    </row>
    <row r="64" spans="1:6">
      <c r="A64" s="14"/>
      <c r="B64" s="14" t="s">
        <v>61</v>
      </c>
      <c r="C64" s="14">
        <v>33</v>
      </c>
      <c r="D64" s="14" t="s">
        <v>90</v>
      </c>
      <c r="E64" s="14">
        <v>0</v>
      </c>
      <c r="F64" s="14">
        <v>0</v>
      </c>
    </row>
    <row r="65" spans="1:6">
      <c r="A65" s="14"/>
      <c r="B65" s="14" t="s">
        <v>61</v>
      </c>
      <c r="C65" s="14">
        <v>34</v>
      </c>
      <c r="D65" s="14" t="s">
        <v>91</v>
      </c>
      <c r="E65" s="14">
        <v>0</v>
      </c>
      <c r="F65" s="14">
        <v>0</v>
      </c>
    </row>
    <row r="66" spans="1:6">
      <c r="A66" s="14"/>
      <c r="B66" s="14" t="s">
        <v>61</v>
      </c>
      <c r="C66" s="14">
        <v>35</v>
      </c>
      <c r="D66" s="14" t="s">
        <v>92</v>
      </c>
      <c r="E66" s="14">
        <v>0</v>
      </c>
      <c r="F66" s="14">
        <v>0</v>
      </c>
    </row>
    <row r="67" spans="1:6">
      <c r="A67" s="14"/>
      <c r="B67" s="14" t="s">
        <v>61</v>
      </c>
      <c r="C67" s="14">
        <v>36</v>
      </c>
      <c r="D67" s="14" t="s">
        <v>93</v>
      </c>
      <c r="E67" s="14">
        <v>0</v>
      </c>
      <c r="F67" s="14">
        <v>0</v>
      </c>
    </row>
    <row r="68" spans="1:6">
      <c r="A68" s="14"/>
      <c r="B68" s="14" t="s">
        <v>61</v>
      </c>
      <c r="C68" s="14">
        <v>37</v>
      </c>
      <c r="D68" s="14" t="s">
        <v>94</v>
      </c>
      <c r="E68" s="14">
        <v>0</v>
      </c>
      <c r="F68" s="14">
        <v>0</v>
      </c>
    </row>
    <row r="69" spans="1:6">
      <c r="A69" s="14"/>
      <c r="B69" s="14" t="s">
        <v>61</v>
      </c>
      <c r="C69" s="14">
        <v>38</v>
      </c>
      <c r="D69" s="14" t="s">
        <v>95</v>
      </c>
      <c r="E69" s="14">
        <v>0</v>
      </c>
      <c r="F69" s="14">
        <v>0</v>
      </c>
    </row>
    <row r="70" spans="1:6">
      <c r="A70" s="14"/>
      <c r="B70" s="14" t="s">
        <v>61</v>
      </c>
      <c r="C70" s="14">
        <v>39</v>
      </c>
      <c r="D70" s="14" t="s">
        <v>96</v>
      </c>
      <c r="E70" s="14">
        <v>0</v>
      </c>
      <c r="F70" s="14">
        <v>0</v>
      </c>
    </row>
    <row r="71" spans="1:6">
      <c r="A71" s="14"/>
      <c r="B71" s="14" t="s">
        <v>61</v>
      </c>
      <c r="C71" s="14">
        <v>40</v>
      </c>
      <c r="D71" s="14" t="s">
        <v>97</v>
      </c>
      <c r="E71" s="14">
        <v>0</v>
      </c>
      <c r="F71" s="14">
        <v>0</v>
      </c>
    </row>
    <row r="72" spans="1:6">
      <c r="A72" s="14"/>
      <c r="B72" s="14" t="s">
        <v>61</v>
      </c>
      <c r="C72" s="14">
        <v>41</v>
      </c>
      <c r="D72" s="14" t="s">
        <v>98</v>
      </c>
      <c r="E72" s="14">
        <v>0</v>
      </c>
      <c r="F72" s="14">
        <v>0</v>
      </c>
    </row>
    <row r="73" spans="1:6">
      <c r="A73" s="14"/>
      <c r="B73" s="14" t="s">
        <v>61</v>
      </c>
      <c r="C73" s="14">
        <v>42</v>
      </c>
      <c r="D73" s="14" t="s">
        <v>99</v>
      </c>
      <c r="E73" s="14">
        <v>0</v>
      </c>
      <c r="F73" s="14">
        <v>0</v>
      </c>
    </row>
    <row r="74" spans="1:6">
      <c r="A74" s="14"/>
      <c r="B74" s="14" t="s">
        <v>61</v>
      </c>
      <c r="C74" s="14">
        <v>43</v>
      </c>
      <c r="D74" s="14" t="s">
        <v>100</v>
      </c>
      <c r="E74" s="14">
        <v>0</v>
      </c>
      <c r="F74" s="14">
        <v>0</v>
      </c>
    </row>
    <row r="75" spans="1:6">
      <c r="A75" s="14"/>
      <c r="B75" s="14" t="s">
        <v>61</v>
      </c>
      <c r="C75" s="14">
        <v>44</v>
      </c>
      <c r="D75" s="14" t="s">
        <v>101</v>
      </c>
      <c r="E75" s="14">
        <v>0</v>
      </c>
      <c r="F75" s="14">
        <v>0</v>
      </c>
    </row>
    <row r="76" spans="1:6">
      <c r="A76" s="14"/>
      <c r="B76" s="14" t="s">
        <v>61</v>
      </c>
      <c r="C76" s="14">
        <v>45</v>
      </c>
      <c r="D76" s="14" t="s">
        <v>102</v>
      </c>
      <c r="E76" s="14">
        <v>0</v>
      </c>
      <c r="F76" s="14">
        <v>0</v>
      </c>
    </row>
    <row r="77" spans="1:6">
      <c r="A77" s="14"/>
      <c r="B77" s="14" t="s">
        <v>61</v>
      </c>
      <c r="C77" s="14">
        <v>46</v>
      </c>
      <c r="D77" s="14" t="s">
        <v>103</v>
      </c>
      <c r="E77" s="14">
        <v>0</v>
      </c>
      <c r="F77" s="14">
        <v>0</v>
      </c>
    </row>
    <row r="78" spans="1:6">
      <c r="A78" s="14"/>
      <c r="B78" s="14" t="s">
        <v>61</v>
      </c>
      <c r="C78" s="14">
        <v>47</v>
      </c>
      <c r="D78" s="14" t="s">
        <v>104</v>
      </c>
      <c r="E78" s="14">
        <v>0</v>
      </c>
      <c r="F78" s="14">
        <v>0</v>
      </c>
    </row>
    <row r="79" spans="1:6">
      <c r="A79" s="14"/>
      <c r="B79" s="14" t="s">
        <v>61</v>
      </c>
      <c r="C79" s="14">
        <v>48</v>
      </c>
      <c r="D79" s="14" t="s">
        <v>105</v>
      </c>
      <c r="E79" s="14">
        <v>0</v>
      </c>
      <c r="F79" s="14">
        <v>0</v>
      </c>
    </row>
    <row r="80" spans="1:6">
      <c r="A80" s="14"/>
      <c r="B80" s="14" t="s">
        <v>61</v>
      </c>
      <c r="C80" s="14">
        <v>49</v>
      </c>
      <c r="D80" s="14" t="s">
        <v>106</v>
      </c>
      <c r="E80" s="14">
        <v>0</v>
      </c>
      <c r="F80" s="14">
        <v>0</v>
      </c>
    </row>
    <row r="81" spans="1:6">
      <c r="A81" s="14"/>
      <c r="B81" s="14" t="s">
        <v>61</v>
      </c>
      <c r="C81" s="14">
        <v>50</v>
      </c>
      <c r="D81" s="14" t="s">
        <v>107</v>
      </c>
      <c r="E81" s="14">
        <v>0</v>
      </c>
      <c r="F81" s="14">
        <v>0</v>
      </c>
    </row>
    <row r="82" spans="1:6">
      <c r="A82" s="14"/>
      <c r="B82" s="14" t="s">
        <v>61</v>
      </c>
      <c r="C82" s="14">
        <v>51</v>
      </c>
      <c r="D82" s="14" t="s">
        <v>108</v>
      </c>
      <c r="E82" s="14">
        <v>0</v>
      </c>
      <c r="F82" s="14">
        <v>0</v>
      </c>
    </row>
    <row r="83" spans="1:6">
      <c r="A83" s="14"/>
      <c r="B83" s="14" t="s">
        <v>61</v>
      </c>
      <c r="C83" s="14">
        <v>52</v>
      </c>
      <c r="D83" s="14" t="s">
        <v>109</v>
      </c>
      <c r="E83" s="14">
        <v>0</v>
      </c>
      <c r="F83" s="14">
        <v>0</v>
      </c>
    </row>
    <row r="84" spans="1:6">
      <c r="A84" s="14"/>
      <c r="B84" s="14" t="s">
        <v>61</v>
      </c>
      <c r="C84" s="14">
        <v>53</v>
      </c>
      <c r="D84" s="14" t="s">
        <v>110</v>
      </c>
      <c r="E84" s="14">
        <v>0</v>
      </c>
      <c r="F84" s="14">
        <v>0</v>
      </c>
    </row>
    <row r="85" spans="1:6">
      <c r="A85" s="14"/>
      <c r="B85" s="14" t="s">
        <v>61</v>
      </c>
      <c r="C85" s="14">
        <v>54</v>
      </c>
      <c r="D85" s="14" t="s">
        <v>111</v>
      </c>
      <c r="E85" s="14">
        <v>0</v>
      </c>
      <c r="F85" s="14">
        <v>0</v>
      </c>
    </row>
    <row r="86" spans="1:6">
      <c r="A86" s="14"/>
      <c r="B86" s="14" t="s">
        <v>61</v>
      </c>
      <c r="C86" s="14">
        <v>55</v>
      </c>
      <c r="D86" s="14" t="s">
        <v>112</v>
      </c>
      <c r="E86" s="14">
        <v>0</v>
      </c>
      <c r="F86" s="14">
        <v>0</v>
      </c>
    </row>
    <row r="87" spans="1:6">
      <c r="A87" s="14"/>
      <c r="B87" s="14" t="s">
        <v>61</v>
      </c>
      <c r="C87" s="14">
        <v>56</v>
      </c>
      <c r="D87" s="14" t="s">
        <v>113</v>
      </c>
      <c r="E87" s="14">
        <v>0</v>
      </c>
      <c r="F87" s="14">
        <v>0</v>
      </c>
    </row>
    <row r="88" spans="1:6">
      <c r="A88" s="14"/>
      <c r="B88" s="14" t="s">
        <v>61</v>
      </c>
      <c r="C88" s="14">
        <v>57</v>
      </c>
      <c r="D88" s="14" t="s">
        <v>114</v>
      </c>
      <c r="E88" s="14">
        <v>0</v>
      </c>
      <c r="F88" s="14">
        <v>0</v>
      </c>
    </row>
    <row r="89" spans="1:6">
      <c r="A89" s="14"/>
      <c r="B89" s="14" t="s">
        <v>61</v>
      </c>
      <c r="C89" s="14">
        <v>58</v>
      </c>
      <c r="D89" s="14" t="s">
        <v>115</v>
      </c>
      <c r="E89" s="14">
        <v>0</v>
      </c>
      <c r="F89" s="14">
        <v>0</v>
      </c>
    </row>
    <row r="90" spans="1:6">
      <c r="A90" s="14"/>
      <c r="B90" s="14" t="s">
        <v>61</v>
      </c>
      <c r="C90" s="14">
        <v>59</v>
      </c>
      <c r="D90" s="14" t="s">
        <v>116</v>
      </c>
      <c r="E90" s="14">
        <v>0</v>
      </c>
      <c r="F90" s="14">
        <v>0</v>
      </c>
    </row>
    <row r="91" spans="1:6">
      <c r="A91" s="14"/>
      <c r="B91" s="14" t="s">
        <v>61</v>
      </c>
      <c r="C91" s="14">
        <v>60</v>
      </c>
      <c r="D91" s="14" t="s">
        <v>117</v>
      </c>
      <c r="E91" s="14">
        <v>0</v>
      </c>
      <c r="F91" s="14">
        <v>0</v>
      </c>
    </row>
    <row r="92" spans="1:6">
      <c r="A92" s="14"/>
      <c r="B92" s="14" t="s">
        <v>61</v>
      </c>
      <c r="C92" s="14">
        <v>61</v>
      </c>
      <c r="D92" s="14" t="s">
        <v>118</v>
      </c>
      <c r="E92" s="14">
        <v>0</v>
      </c>
      <c r="F92" s="14">
        <v>0</v>
      </c>
    </row>
    <row r="93" spans="1:6">
      <c r="A93" s="14"/>
      <c r="B93" s="14" t="s">
        <v>61</v>
      </c>
      <c r="C93" s="14">
        <v>62</v>
      </c>
      <c r="D93" s="14" t="s">
        <v>21</v>
      </c>
      <c r="E93" s="14">
        <v>0</v>
      </c>
      <c r="F93" s="14">
        <v>0</v>
      </c>
    </row>
    <row r="94" spans="1:6">
      <c r="A94" s="14"/>
      <c r="B94" s="14" t="s">
        <v>61</v>
      </c>
      <c r="C94" s="14">
        <v>63</v>
      </c>
      <c r="D94" s="14" t="s">
        <v>119</v>
      </c>
      <c r="E94" s="14">
        <v>0</v>
      </c>
      <c r="F94" s="14">
        <v>0</v>
      </c>
    </row>
    <row r="95" spans="1:6">
      <c r="A95" s="14"/>
      <c r="B95" s="14" t="s">
        <v>61</v>
      </c>
      <c r="C95" s="14">
        <v>64</v>
      </c>
      <c r="D95" s="14" t="s">
        <v>120</v>
      </c>
      <c r="E95" s="14">
        <v>0</v>
      </c>
      <c r="F95" s="14">
        <v>0</v>
      </c>
    </row>
    <row r="96" spans="1:6">
      <c r="A96" s="14"/>
      <c r="B96" s="14" t="s">
        <v>61</v>
      </c>
      <c r="C96" s="14">
        <v>65</v>
      </c>
      <c r="D96" s="14" t="s">
        <v>121</v>
      </c>
      <c r="E96" s="14">
        <v>0</v>
      </c>
      <c r="F96" s="14">
        <v>0</v>
      </c>
    </row>
    <row r="97" spans="1:6">
      <c r="A97" s="14"/>
      <c r="B97" s="14" t="s">
        <v>61</v>
      </c>
      <c r="C97" s="14">
        <v>66</v>
      </c>
      <c r="D97" s="14" t="s">
        <v>122</v>
      </c>
      <c r="E97" s="14">
        <v>0</v>
      </c>
      <c r="F97" s="14">
        <v>0</v>
      </c>
    </row>
    <row r="98" spans="1:6">
      <c r="A98" s="14"/>
      <c r="B98" s="14" t="s">
        <v>61</v>
      </c>
      <c r="C98" s="14">
        <v>67</v>
      </c>
      <c r="D98" s="14" t="s">
        <v>123</v>
      </c>
      <c r="E98" s="14">
        <v>0</v>
      </c>
      <c r="F98" s="14">
        <v>0</v>
      </c>
    </row>
    <row r="99" spans="1:6">
      <c r="A99" s="14"/>
      <c r="B99" s="14" t="s">
        <v>61</v>
      </c>
      <c r="C99" s="14">
        <v>68</v>
      </c>
      <c r="D99" s="14" t="s">
        <v>124</v>
      </c>
      <c r="E99" s="14">
        <v>0</v>
      </c>
      <c r="F99" s="14">
        <v>0</v>
      </c>
    </row>
    <row r="100" spans="1:6">
      <c r="A100" s="14"/>
      <c r="B100" s="14" t="s">
        <v>61</v>
      </c>
      <c r="C100" s="14">
        <v>69</v>
      </c>
      <c r="D100" s="14" t="s">
        <v>125</v>
      </c>
      <c r="E100" s="14">
        <v>0</v>
      </c>
      <c r="F100" s="14">
        <v>0</v>
      </c>
    </row>
    <row r="101" spans="1:6">
      <c r="A101" s="14"/>
      <c r="B101" s="14" t="s">
        <v>61</v>
      </c>
      <c r="C101" s="14">
        <v>70</v>
      </c>
      <c r="D101" s="14" t="s">
        <v>126</v>
      </c>
      <c r="E101" s="14">
        <v>0</v>
      </c>
      <c r="F101" s="14">
        <v>0</v>
      </c>
    </row>
    <row r="102" spans="1:6">
      <c r="A102" s="14"/>
      <c r="B102" s="14" t="s">
        <v>61</v>
      </c>
      <c r="C102" s="14">
        <v>71</v>
      </c>
      <c r="D102" s="14" t="s">
        <v>127</v>
      </c>
      <c r="E102" s="14">
        <v>0</v>
      </c>
      <c r="F102" s="14">
        <v>0</v>
      </c>
    </row>
    <row r="103" spans="1:6">
      <c r="A103" s="14"/>
      <c r="B103" s="14" t="s">
        <v>61</v>
      </c>
      <c r="C103" s="14">
        <v>72</v>
      </c>
      <c r="D103" s="14" t="s">
        <v>128</v>
      </c>
      <c r="E103" s="14">
        <v>0</v>
      </c>
      <c r="F103" s="14">
        <v>0</v>
      </c>
    </row>
    <row r="104" spans="1:6">
      <c r="A104" s="14"/>
      <c r="B104" s="14" t="s">
        <v>61</v>
      </c>
      <c r="C104" s="14">
        <v>73</v>
      </c>
      <c r="D104" s="14" t="s">
        <v>129</v>
      </c>
      <c r="E104" s="14">
        <v>0</v>
      </c>
      <c r="F104" s="14">
        <v>0</v>
      </c>
    </row>
    <row r="105" spans="1:6">
      <c r="A105" s="14"/>
      <c r="B105" s="14" t="s">
        <v>61</v>
      </c>
      <c r="C105" s="14">
        <v>74</v>
      </c>
      <c r="D105" s="14" t="s">
        <v>130</v>
      </c>
      <c r="E105" s="14">
        <v>0</v>
      </c>
      <c r="F105" s="14">
        <v>0</v>
      </c>
    </row>
    <row r="106" spans="1:6">
      <c r="A106" s="14"/>
      <c r="B106" s="14" t="s">
        <v>61</v>
      </c>
      <c r="C106" s="14">
        <v>75</v>
      </c>
      <c r="D106" s="14" t="s">
        <v>131</v>
      </c>
      <c r="E106" s="14">
        <v>0</v>
      </c>
      <c r="F106" s="14">
        <v>0</v>
      </c>
    </row>
    <row r="107" spans="1:6">
      <c r="A107" s="14"/>
      <c r="B107" s="14" t="s">
        <v>61</v>
      </c>
      <c r="C107" s="14">
        <v>76</v>
      </c>
      <c r="D107" s="14" t="s">
        <v>132</v>
      </c>
      <c r="E107" s="14">
        <v>0</v>
      </c>
      <c r="F107" s="14">
        <v>0</v>
      </c>
    </row>
    <row r="108" spans="1:6">
      <c r="A108" s="14"/>
      <c r="B108" s="14" t="s">
        <v>61</v>
      </c>
      <c r="C108" s="14">
        <v>77</v>
      </c>
      <c r="D108" s="14" t="s">
        <v>133</v>
      </c>
      <c r="E108" s="14">
        <v>0</v>
      </c>
      <c r="F108" s="14">
        <v>0</v>
      </c>
    </row>
    <row r="109" spans="1:6">
      <c r="A109" s="14"/>
      <c r="B109" s="14" t="s">
        <v>61</v>
      </c>
      <c r="C109" s="14">
        <v>78</v>
      </c>
      <c r="D109" s="14" t="s">
        <v>134</v>
      </c>
      <c r="E109" s="14">
        <v>0</v>
      </c>
      <c r="F109" s="14">
        <v>0</v>
      </c>
    </row>
    <row r="110" spans="1:6">
      <c r="A110" s="14"/>
      <c r="B110" s="14" t="s">
        <v>61</v>
      </c>
      <c r="C110" s="14">
        <v>79</v>
      </c>
      <c r="D110" s="14" t="s">
        <v>135</v>
      </c>
      <c r="E110" s="14">
        <v>0</v>
      </c>
      <c r="F110" s="14">
        <v>0</v>
      </c>
    </row>
    <row r="111" spans="1:6">
      <c r="A111" s="14"/>
      <c r="B111" s="14" t="s">
        <v>61</v>
      </c>
      <c r="C111" s="14">
        <v>80</v>
      </c>
      <c r="D111" s="14" t="s">
        <v>136</v>
      </c>
      <c r="E111" s="14">
        <v>0</v>
      </c>
      <c r="F111" s="14">
        <v>0</v>
      </c>
    </row>
    <row r="112" spans="1:6">
      <c r="A112" s="14"/>
      <c r="B112" s="14" t="s">
        <v>61</v>
      </c>
      <c r="C112" s="14">
        <v>81</v>
      </c>
      <c r="D112" s="14" t="s">
        <v>137</v>
      </c>
      <c r="E112" s="14">
        <v>0</v>
      </c>
      <c r="F112" s="14">
        <v>0</v>
      </c>
    </row>
    <row r="113" spans="1:6">
      <c r="A113" s="14"/>
      <c r="B113" s="14" t="s">
        <v>61</v>
      </c>
      <c r="C113" s="14">
        <v>82</v>
      </c>
      <c r="D113" s="14" t="s">
        <v>138</v>
      </c>
      <c r="E113" s="14">
        <v>0</v>
      </c>
      <c r="F113" s="14">
        <v>0</v>
      </c>
    </row>
    <row r="114" spans="1:6">
      <c r="A114" s="14"/>
      <c r="B114" s="14" t="s">
        <v>61</v>
      </c>
      <c r="C114" s="14">
        <v>83</v>
      </c>
      <c r="D114" s="14" t="s">
        <v>139</v>
      </c>
      <c r="E114" s="14">
        <v>0</v>
      </c>
      <c r="F114" s="14">
        <v>0</v>
      </c>
    </row>
    <row r="115" spans="1:6">
      <c r="A115" s="14"/>
      <c r="B115" s="14" t="s">
        <v>61</v>
      </c>
      <c r="C115" s="14">
        <v>84</v>
      </c>
      <c r="D115" s="14" t="s">
        <v>140</v>
      </c>
      <c r="E115" s="14">
        <v>0</v>
      </c>
      <c r="F115" s="14">
        <v>0</v>
      </c>
    </row>
    <row r="116" spans="1:6">
      <c r="A116" s="14"/>
      <c r="B116" s="14" t="s">
        <v>61</v>
      </c>
      <c r="C116" s="14">
        <v>85</v>
      </c>
      <c r="D116" s="14" t="s">
        <v>141</v>
      </c>
      <c r="E116" s="14">
        <v>0</v>
      </c>
      <c r="F116" s="14">
        <v>0</v>
      </c>
    </row>
    <row r="117" spans="1:6">
      <c r="A117" s="14"/>
      <c r="B117" s="14" t="s">
        <v>61</v>
      </c>
      <c r="C117" s="14">
        <v>86</v>
      </c>
      <c r="D117" s="14" t="s">
        <v>142</v>
      </c>
      <c r="E117" s="14">
        <v>0</v>
      </c>
      <c r="F117" s="14">
        <v>0</v>
      </c>
    </row>
    <row r="118" spans="1:6">
      <c r="A118" s="14"/>
      <c r="B118" s="14" t="s">
        <v>61</v>
      </c>
      <c r="C118" s="14">
        <v>87</v>
      </c>
      <c r="D118" s="14" t="s">
        <v>143</v>
      </c>
      <c r="E118" s="14">
        <v>0</v>
      </c>
      <c r="F118" s="14">
        <v>0</v>
      </c>
    </row>
    <row r="119" spans="1:6">
      <c r="A119" s="14"/>
      <c r="B119" s="14" t="s">
        <v>61</v>
      </c>
      <c r="C119" s="14">
        <v>88</v>
      </c>
      <c r="D119" s="14" t="s">
        <v>144</v>
      </c>
      <c r="E119" s="14">
        <v>0</v>
      </c>
      <c r="F119" s="14">
        <v>0</v>
      </c>
    </row>
    <row r="120" spans="1:6">
      <c r="A120" s="14"/>
      <c r="B120" s="14" t="s">
        <v>61</v>
      </c>
      <c r="C120" s="14">
        <v>89</v>
      </c>
      <c r="D120" s="14" t="s">
        <v>145</v>
      </c>
      <c r="E120" s="14">
        <v>0</v>
      </c>
      <c r="F120" s="14">
        <v>0</v>
      </c>
    </row>
    <row r="121" spans="1:6">
      <c r="A121" s="14"/>
      <c r="B121" s="14" t="s">
        <v>61</v>
      </c>
      <c r="C121" s="14">
        <v>90</v>
      </c>
      <c r="D121" s="14" t="s">
        <v>146</v>
      </c>
      <c r="E121" s="14">
        <v>0</v>
      </c>
      <c r="F121" s="14">
        <v>0</v>
      </c>
    </row>
    <row r="122" spans="1:6">
      <c r="A122" s="14"/>
      <c r="B122" s="14" t="s">
        <v>61</v>
      </c>
      <c r="C122" s="14">
        <v>91</v>
      </c>
      <c r="D122" s="14" t="s">
        <v>147</v>
      </c>
      <c r="E122" s="14">
        <v>0</v>
      </c>
      <c r="F122" s="14">
        <v>0</v>
      </c>
    </row>
    <row r="123" spans="1:6">
      <c r="A123" s="14"/>
      <c r="B123" s="14" t="s">
        <v>61</v>
      </c>
      <c r="C123" s="14">
        <v>92</v>
      </c>
      <c r="D123" s="14" t="s">
        <v>148</v>
      </c>
      <c r="E123" s="14">
        <v>0</v>
      </c>
      <c r="F123" s="14">
        <v>0</v>
      </c>
    </row>
    <row r="124" spans="1:6">
      <c r="A124" s="14"/>
      <c r="B124" s="14" t="s">
        <v>61</v>
      </c>
      <c r="C124" s="14">
        <v>93</v>
      </c>
      <c r="D124" s="14" t="s">
        <v>149</v>
      </c>
      <c r="E124" s="14">
        <v>0</v>
      </c>
      <c r="F124" s="14">
        <v>0</v>
      </c>
    </row>
    <row r="125" spans="1:6">
      <c r="A125" s="14"/>
      <c r="B125" s="14" t="s">
        <v>61</v>
      </c>
      <c r="C125" s="14">
        <v>94</v>
      </c>
      <c r="D125" s="14" t="s">
        <v>150</v>
      </c>
      <c r="E125" s="14">
        <v>0</v>
      </c>
      <c r="F125" s="14">
        <v>0</v>
      </c>
    </row>
    <row r="126" spans="1:6">
      <c r="A126" s="14"/>
      <c r="B126" s="14" t="s">
        <v>61</v>
      </c>
      <c r="C126" s="14">
        <v>95</v>
      </c>
      <c r="D126" s="14" t="s">
        <v>151</v>
      </c>
      <c r="E126" s="14">
        <v>0</v>
      </c>
      <c r="F126" s="14">
        <v>0</v>
      </c>
    </row>
    <row r="127" spans="1:6">
      <c r="A127" s="14"/>
      <c r="B127" s="14" t="s">
        <v>61</v>
      </c>
      <c r="C127" s="14">
        <v>96</v>
      </c>
      <c r="D127" s="14" t="s">
        <v>152</v>
      </c>
      <c r="E127" s="14">
        <v>0</v>
      </c>
      <c r="F127" s="14">
        <v>0</v>
      </c>
    </row>
    <row r="128" spans="1:6">
      <c r="A128" s="14"/>
      <c r="B128" s="14" t="s">
        <v>61</v>
      </c>
      <c r="C128" s="14">
        <v>97</v>
      </c>
      <c r="D128" s="14" t="s">
        <v>153</v>
      </c>
      <c r="E128" s="14">
        <v>0</v>
      </c>
      <c r="F128" s="14">
        <v>0</v>
      </c>
    </row>
    <row r="129" spans="1:6">
      <c r="A129" s="14"/>
      <c r="B129" s="14" t="s">
        <v>61</v>
      </c>
      <c r="C129" s="14">
        <v>98</v>
      </c>
      <c r="D129" s="14" t="s">
        <v>154</v>
      </c>
      <c r="E129" s="14">
        <v>0</v>
      </c>
      <c r="F129" s="14">
        <v>0</v>
      </c>
    </row>
    <row r="130" spans="1:6">
      <c r="A130" s="14"/>
      <c r="B130" s="14" t="s">
        <v>61</v>
      </c>
      <c r="C130" s="14">
        <v>99</v>
      </c>
      <c r="D130" s="14" t="s">
        <v>155</v>
      </c>
      <c r="E130" s="14">
        <v>0</v>
      </c>
      <c r="F130" s="14">
        <v>0</v>
      </c>
    </row>
    <row r="131" spans="1:6">
      <c r="A131" s="14"/>
      <c r="B131" s="14" t="s">
        <v>61</v>
      </c>
      <c r="C131" s="14">
        <v>100</v>
      </c>
      <c r="D131" s="14" t="s">
        <v>156</v>
      </c>
      <c r="E131" s="14">
        <v>0</v>
      </c>
      <c r="F131" s="14">
        <v>0</v>
      </c>
    </row>
    <row r="132" spans="1:6">
      <c r="A132" s="14"/>
      <c r="B132" s="14" t="s">
        <v>61</v>
      </c>
      <c r="C132" s="14">
        <v>101</v>
      </c>
      <c r="D132" s="14" t="s">
        <v>157</v>
      </c>
      <c r="E132" s="14">
        <v>0</v>
      </c>
      <c r="F132" s="14">
        <v>0</v>
      </c>
    </row>
    <row r="133" spans="1:6">
      <c r="A133" s="14"/>
      <c r="B133" s="14" t="s">
        <v>61</v>
      </c>
      <c r="C133" s="14">
        <v>102</v>
      </c>
      <c r="D133" s="14" t="s">
        <v>158</v>
      </c>
      <c r="E133" s="14">
        <v>0</v>
      </c>
      <c r="F133" s="14">
        <v>0</v>
      </c>
    </row>
    <row r="134" spans="1:6">
      <c r="A134" s="14"/>
      <c r="B134" s="14" t="s">
        <v>61</v>
      </c>
      <c r="C134" s="14">
        <v>103</v>
      </c>
      <c r="D134" s="14" t="s">
        <v>159</v>
      </c>
      <c r="E134" s="14">
        <v>0</v>
      </c>
      <c r="F134" s="14">
        <v>0</v>
      </c>
    </row>
    <row r="135" spans="1:6">
      <c r="A135" s="14"/>
      <c r="B135" s="14" t="s">
        <v>61</v>
      </c>
      <c r="C135" s="14">
        <v>104</v>
      </c>
      <c r="D135" s="14" t="s">
        <v>160</v>
      </c>
      <c r="E135" s="14">
        <v>0</v>
      </c>
      <c r="F135" s="14">
        <v>0</v>
      </c>
    </row>
    <row r="136" spans="1:6">
      <c r="A136" s="14"/>
      <c r="B136" s="14" t="s">
        <v>61</v>
      </c>
      <c r="C136" s="14">
        <v>105</v>
      </c>
      <c r="D136" s="14" t="s">
        <v>161</v>
      </c>
      <c r="E136" s="14">
        <v>0</v>
      </c>
      <c r="F136" s="14">
        <v>0</v>
      </c>
    </row>
    <row r="137" spans="1:6">
      <c r="A137" s="14"/>
      <c r="B137" s="14" t="s">
        <v>61</v>
      </c>
      <c r="C137" s="14">
        <v>106</v>
      </c>
      <c r="D137" s="14" t="s">
        <v>162</v>
      </c>
      <c r="E137" s="14">
        <v>0</v>
      </c>
      <c r="F137" s="14">
        <v>0</v>
      </c>
    </row>
    <row r="138" spans="1:6">
      <c r="A138" s="14"/>
      <c r="B138" s="14" t="s">
        <v>61</v>
      </c>
      <c r="C138" s="14">
        <v>107</v>
      </c>
      <c r="D138" s="14" t="s">
        <v>163</v>
      </c>
      <c r="E138" s="14">
        <v>0</v>
      </c>
      <c r="F138" s="14">
        <v>0</v>
      </c>
    </row>
    <row r="139" spans="1:6">
      <c r="A139" s="14"/>
      <c r="B139" s="14" t="s">
        <v>61</v>
      </c>
      <c r="C139" s="14">
        <v>108</v>
      </c>
      <c r="D139" s="14" t="s">
        <v>164</v>
      </c>
      <c r="E139" s="14">
        <v>0</v>
      </c>
      <c r="F139" s="14">
        <v>0</v>
      </c>
    </row>
    <row r="140" spans="1:6">
      <c r="A140" s="14"/>
      <c r="B140" s="14" t="s">
        <v>61</v>
      </c>
      <c r="C140" s="14">
        <v>109</v>
      </c>
      <c r="D140" s="14" t="s">
        <v>165</v>
      </c>
      <c r="E140" s="14">
        <v>0</v>
      </c>
      <c r="F140" s="14">
        <v>0</v>
      </c>
    </row>
    <row r="141" spans="1:6">
      <c r="A141" s="14"/>
      <c r="B141" s="14" t="s">
        <v>61</v>
      </c>
      <c r="C141" s="14">
        <v>110</v>
      </c>
      <c r="D141" s="14" t="s">
        <v>166</v>
      </c>
      <c r="E141" s="14">
        <v>0</v>
      </c>
      <c r="F141" s="14">
        <v>0</v>
      </c>
    </row>
    <row r="142" spans="1:6">
      <c r="A142" s="14"/>
      <c r="B142" s="14" t="s">
        <v>61</v>
      </c>
      <c r="C142" s="14">
        <v>111</v>
      </c>
      <c r="D142" s="14" t="s">
        <v>167</v>
      </c>
      <c r="E142" s="14">
        <v>0</v>
      </c>
      <c r="F142" s="14">
        <v>0</v>
      </c>
    </row>
    <row r="143" spans="1:6">
      <c r="A143" s="14"/>
      <c r="B143" s="14" t="s">
        <v>61</v>
      </c>
      <c r="C143" s="14">
        <v>112</v>
      </c>
      <c r="D143" s="14" t="s">
        <v>168</v>
      </c>
      <c r="E143" s="14">
        <v>0</v>
      </c>
      <c r="F143" s="14">
        <v>0</v>
      </c>
    </row>
    <row r="144" spans="1:6">
      <c r="A144" s="14"/>
      <c r="B144" s="14" t="s">
        <v>61</v>
      </c>
      <c r="C144" s="14">
        <v>113</v>
      </c>
      <c r="D144" s="14" t="s">
        <v>169</v>
      </c>
      <c r="E144" s="14">
        <v>0</v>
      </c>
      <c r="F144" s="14">
        <v>0</v>
      </c>
    </row>
    <row r="145" spans="1:6">
      <c r="A145" s="14"/>
      <c r="B145" s="14" t="s">
        <v>61</v>
      </c>
      <c r="C145" s="14">
        <v>114</v>
      </c>
      <c r="D145" s="14" t="s">
        <v>170</v>
      </c>
      <c r="E145" s="14">
        <v>0</v>
      </c>
      <c r="F145" s="14">
        <v>0</v>
      </c>
    </row>
    <row r="146" spans="1:6">
      <c r="A146" s="14"/>
      <c r="B146" s="14" t="s">
        <v>61</v>
      </c>
      <c r="C146" s="14">
        <v>115</v>
      </c>
      <c r="D146" s="14" t="s">
        <v>171</v>
      </c>
      <c r="E146" s="14">
        <v>0</v>
      </c>
      <c r="F146" s="14">
        <v>0</v>
      </c>
    </row>
    <row r="147" spans="1:6">
      <c r="A147" s="14"/>
      <c r="B147" s="14" t="s">
        <v>61</v>
      </c>
      <c r="C147" s="14">
        <v>116</v>
      </c>
      <c r="D147" s="14" t="s">
        <v>172</v>
      </c>
      <c r="E147" s="14">
        <v>0</v>
      </c>
      <c r="F147" s="14">
        <v>0</v>
      </c>
    </row>
    <row r="148" spans="1:6">
      <c r="A148" s="14"/>
      <c r="B148" s="14" t="s">
        <v>61</v>
      </c>
      <c r="C148" s="14">
        <v>117</v>
      </c>
      <c r="D148" s="14" t="s">
        <v>173</v>
      </c>
      <c r="E148" s="14">
        <v>0</v>
      </c>
      <c r="F148" s="14">
        <v>0</v>
      </c>
    </row>
    <row r="149" spans="1:6">
      <c r="A149" s="14"/>
      <c r="B149" s="14" t="s">
        <v>61</v>
      </c>
      <c r="C149" s="14">
        <v>118</v>
      </c>
      <c r="D149" s="14" t="s">
        <v>174</v>
      </c>
      <c r="E149" s="14">
        <v>0</v>
      </c>
      <c r="F149" s="14">
        <v>0</v>
      </c>
    </row>
    <row r="150" spans="1:6">
      <c r="A150" s="14"/>
      <c r="B150" s="14" t="s">
        <v>61</v>
      </c>
      <c r="C150" s="14">
        <v>119</v>
      </c>
      <c r="D150" s="14" t="s">
        <v>175</v>
      </c>
      <c r="E150" s="14">
        <v>0</v>
      </c>
      <c r="F150" s="14">
        <v>0</v>
      </c>
    </row>
    <row r="151" spans="1:6">
      <c r="A151" s="14"/>
      <c r="B151" s="14" t="s">
        <v>61</v>
      </c>
      <c r="C151" s="14">
        <v>120</v>
      </c>
      <c r="D151" s="14" t="s">
        <v>176</v>
      </c>
      <c r="E151" s="14">
        <v>0</v>
      </c>
      <c r="F151" s="14">
        <v>0</v>
      </c>
    </row>
    <row r="152" spans="1:6">
      <c r="A152" s="14"/>
      <c r="B152" s="14" t="s">
        <v>61</v>
      </c>
      <c r="C152" s="14">
        <v>121</v>
      </c>
      <c r="D152" s="14" t="s">
        <v>177</v>
      </c>
      <c r="E152" s="14">
        <v>0</v>
      </c>
      <c r="F152" s="14">
        <v>0</v>
      </c>
    </row>
    <row r="153" spans="1:6">
      <c r="A153" s="14"/>
      <c r="B153" s="14" t="s">
        <v>61</v>
      </c>
      <c r="C153" s="14">
        <v>122</v>
      </c>
      <c r="D153" s="14" t="s">
        <v>178</v>
      </c>
      <c r="E153" s="14">
        <v>0</v>
      </c>
      <c r="F153" s="14">
        <v>0</v>
      </c>
    </row>
    <row r="154" spans="1:6">
      <c r="A154" s="14"/>
      <c r="B154" s="14" t="s">
        <v>61</v>
      </c>
      <c r="C154" s="14">
        <v>123</v>
      </c>
      <c r="D154" s="14" t="s">
        <v>179</v>
      </c>
      <c r="E154" s="14">
        <v>0</v>
      </c>
      <c r="F154" s="14">
        <v>0</v>
      </c>
    </row>
    <row r="155" spans="1:6">
      <c r="A155" s="14"/>
      <c r="B155" s="14" t="s">
        <v>61</v>
      </c>
      <c r="C155" s="14">
        <v>124</v>
      </c>
      <c r="D155" s="14" t="s">
        <v>180</v>
      </c>
      <c r="E155" s="14">
        <v>0</v>
      </c>
      <c r="F155" s="14">
        <v>0</v>
      </c>
    </row>
    <row r="156" spans="1:6">
      <c r="A156" s="14"/>
      <c r="B156" s="14" t="s">
        <v>61</v>
      </c>
      <c r="C156" s="14">
        <v>125</v>
      </c>
      <c r="D156" s="14" t="s">
        <v>181</v>
      </c>
      <c r="E156" s="14">
        <v>0</v>
      </c>
      <c r="F156" s="14">
        <v>0</v>
      </c>
    </row>
    <row r="157" spans="1:6">
      <c r="A157" s="14"/>
      <c r="B157" s="14" t="s">
        <v>61</v>
      </c>
      <c r="C157" s="14">
        <v>126</v>
      </c>
      <c r="D157" s="14" t="s">
        <v>182</v>
      </c>
      <c r="E157" s="14">
        <v>0</v>
      </c>
      <c r="F157" s="14">
        <v>0</v>
      </c>
    </row>
    <row r="158" spans="1:6">
      <c r="A158" s="14"/>
      <c r="B158" s="14" t="s">
        <v>61</v>
      </c>
      <c r="C158" s="14">
        <v>127</v>
      </c>
      <c r="D158" s="14" t="s">
        <v>183</v>
      </c>
      <c r="E158" s="14">
        <v>0</v>
      </c>
      <c r="F158" s="14">
        <v>0</v>
      </c>
    </row>
    <row r="159" spans="1:6">
      <c r="A159" s="14"/>
      <c r="B159" s="14" t="s">
        <v>61</v>
      </c>
      <c r="C159" s="14">
        <v>128</v>
      </c>
      <c r="D159" s="14" t="s">
        <v>184</v>
      </c>
      <c r="E159" s="14">
        <v>0</v>
      </c>
      <c r="F159" s="14">
        <v>0</v>
      </c>
    </row>
    <row r="160" spans="1:6">
      <c r="A160" s="14"/>
      <c r="B160" s="14" t="s">
        <v>61</v>
      </c>
      <c r="C160" s="14">
        <v>129</v>
      </c>
      <c r="D160" s="14" t="s">
        <v>185</v>
      </c>
      <c r="E160" s="14">
        <v>0</v>
      </c>
      <c r="F160" s="14">
        <v>0</v>
      </c>
    </row>
    <row r="161" spans="1:6">
      <c r="A161" s="14"/>
      <c r="B161" s="14" t="s">
        <v>61</v>
      </c>
      <c r="C161" s="14">
        <v>130</v>
      </c>
      <c r="D161" s="14" t="s">
        <v>186</v>
      </c>
      <c r="E161" s="14">
        <v>0</v>
      </c>
      <c r="F161" s="14">
        <v>0</v>
      </c>
    </row>
    <row r="162" spans="1:6">
      <c r="A162" s="14"/>
      <c r="B162" s="14" t="s">
        <v>61</v>
      </c>
      <c r="C162" s="14">
        <v>131</v>
      </c>
      <c r="D162" s="14" t="s">
        <v>187</v>
      </c>
      <c r="E162" s="14">
        <v>0</v>
      </c>
      <c r="F162" s="14">
        <v>0</v>
      </c>
    </row>
    <row r="163" spans="1:6">
      <c r="A163" s="14"/>
      <c r="B163" s="14" t="s">
        <v>61</v>
      </c>
      <c r="C163" s="14">
        <v>132</v>
      </c>
      <c r="D163" s="14" t="s">
        <v>188</v>
      </c>
      <c r="E163" s="14">
        <v>0</v>
      </c>
      <c r="F163" s="14">
        <v>0</v>
      </c>
    </row>
    <row r="164" spans="1:6">
      <c r="A164" s="14"/>
      <c r="B164" s="14" t="s">
        <v>61</v>
      </c>
      <c r="C164" s="14">
        <v>133</v>
      </c>
      <c r="D164" s="14" t="s">
        <v>189</v>
      </c>
      <c r="E164" s="14">
        <v>0</v>
      </c>
      <c r="F164" s="14">
        <v>0</v>
      </c>
    </row>
    <row r="165" spans="1:6">
      <c r="A165" s="14"/>
      <c r="B165" s="14" t="s">
        <v>61</v>
      </c>
      <c r="C165" s="14">
        <v>134</v>
      </c>
      <c r="D165" s="14" t="s">
        <v>190</v>
      </c>
      <c r="E165" s="14">
        <v>0</v>
      </c>
      <c r="F165" s="14">
        <v>0</v>
      </c>
    </row>
    <row r="166" spans="1:6">
      <c r="A166" s="14"/>
      <c r="B166" s="14" t="s">
        <v>61</v>
      </c>
      <c r="C166" s="14">
        <v>135</v>
      </c>
      <c r="D166" s="14" t="s">
        <v>191</v>
      </c>
      <c r="E166" s="14">
        <v>0</v>
      </c>
      <c r="F166" s="14">
        <v>0</v>
      </c>
    </row>
    <row r="167" spans="1:6">
      <c r="A167" s="14"/>
      <c r="B167" s="14" t="s">
        <v>61</v>
      </c>
      <c r="C167" s="14">
        <v>136</v>
      </c>
      <c r="D167" s="14" t="s">
        <v>192</v>
      </c>
      <c r="E167" s="14">
        <v>0</v>
      </c>
      <c r="F167" s="14">
        <v>0</v>
      </c>
    </row>
    <row r="168" spans="1:6">
      <c r="A168" s="14"/>
      <c r="B168" s="14" t="s">
        <v>61</v>
      </c>
      <c r="C168" s="14">
        <v>137</v>
      </c>
      <c r="D168" s="14" t="s">
        <v>193</v>
      </c>
      <c r="E168" s="14">
        <v>0</v>
      </c>
      <c r="F168" s="14">
        <v>0</v>
      </c>
    </row>
    <row r="169" spans="1:6">
      <c r="A169" s="14"/>
      <c r="B169" s="14" t="s">
        <v>61</v>
      </c>
      <c r="C169" s="14">
        <v>138</v>
      </c>
      <c r="D169" s="14" t="s">
        <v>194</v>
      </c>
      <c r="E169" s="14">
        <v>0</v>
      </c>
      <c r="F169" s="14">
        <v>0</v>
      </c>
    </row>
    <row r="170" spans="1:6">
      <c r="A170" s="14"/>
      <c r="B170" s="14" t="s">
        <v>61</v>
      </c>
      <c r="C170" s="14">
        <v>139</v>
      </c>
      <c r="D170" s="14" t="s">
        <v>195</v>
      </c>
      <c r="E170" s="14">
        <v>0</v>
      </c>
      <c r="F170" s="14">
        <v>0</v>
      </c>
    </row>
    <row r="171" spans="1:6">
      <c r="A171" s="14"/>
      <c r="B171" s="14" t="s">
        <v>61</v>
      </c>
      <c r="C171" s="14">
        <v>140</v>
      </c>
      <c r="D171" s="14" t="s">
        <v>196</v>
      </c>
      <c r="E171" s="14">
        <v>0</v>
      </c>
      <c r="F171" s="14">
        <v>0</v>
      </c>
    </row>
    <row r="172" spans="1:6">
      <c r="A172" s="14"/>
      <c r="B172" s="14" t="s">
        <v>61</v>
      </c>
      <c r="C172" s="14">
        <v>141</v>
      </c>
      <c r="D172" s="14" t="s">
        <v>34</v>
      </c>
      <c r="E172" s="14">
        <v>0</v>
      </c>
      <c r="F172" s="14">
        <v>0</v>
      </c>
    </row>
    <row r="173" spans="1:6">
      <c r="A173" s="14"/>
      <c r="B173" s="14" t="s">
        <v>61</v>
      </c>
      <c r="C173" s="14">
        <v>142</v>
      </c>
      <c r="D173" s="14" t="s">
        <v>197</v>
      </c>
      <c r="E173" s="14">
        <v>0</v>
      </c>
      <c r="F173" s="14">
        <v>0</v>
      </c>
    </row>
    <row r="174" spans="1:6">
      <c r="A174" s="14"/>
      <c r="B174" s="14" t="s">
        <v>61</v>
      </c>
      <c r="C174" s="14">
        <v>143</v>
      </c>
      <c r="D174" s="14" t="s">
        <v>198</v>
      </c>
      <c r="E174" s="14">
        <v>0</v>
      </c>
      <c r="F174" s="14">
        <v>0</v>
      </c>
    </row>
    <row r="175" spans="1:6">
      <c r="A175" s="14"/>
      <c r="B175" s="14" t="s">
        <v>61</v>
      </c>
      <c r="C175" s="14">
        <v>144</v>
      </c>
      <c r="D175" s="14" t="s">
        <v>199</v>
      </c>
      <c r="E175" s="14">
        <v>0</v>
      </c>
      <c r="F175" s="14">
        <v>0</v>
      </c>
    </row>
    <row r="176" spans="1:6">
      <c r="A176" s="14"/>
      <c r="B176" s="14" t="s">
        <v>61</v>
      </c>
      <c r="C176" s="14">
        <v>145</v>
      </c>
      <c r="D176" s="14" t="s">
        <v>200</v>
      </c>
      <c r="E176" s="14">
        <v>0</v>
      </c>
      <c r="F176" s="14">
        <v>0</v>
      </c>
    </row>
    <row r="177" spans="1:6">
      <c r="A177" s="14"/>
      <c r="B177" s="14" t="s">
        <v>61</v>
      </c>
      <c r="C177" s="14">
        <v>146</v>
      </c>
      <c r="D177" s="14" t="s">
        <v>201</v>
      </c>
      <c r="E177" s="14">
        <v>0</v>
      </c>
      <c r="F177" s="14">
        <v>0</v>
      </c>
    </row>
    <row r="178" spans="1:6">
      <c r="A178" s="14"/>
      <c r="B178" s="14" t="s">
        <v>61</v>
      </c>
      <c r="C178" s="14">
        <v>147</v>
      </c>
      <c r="D178" s="14" t="s">
        <v>202</v>
      </c>
      <c r="E178" s="14">
        <v>0</v>
      </c>
      <c r="F178" s="14">
        <v>0</v>
      </c>
    </row>
    <row r="179" spans="1:6">
      <c r="A179" s="14"/>
      <c r="B179" s="14" t="s">
        <v>61</v>
      </c>
      <c r="C179" s="14">
        <v>148</v>
      </c>
      <c r="D179" s="14" t="s">
        <v>203</v>
      </c>
      <c r="E179" s="14">
        <v>0</v>
      </c>
      <c r="F179" s="14">
        <v>0</v>
      </c>
    </row>
    <row r="180" spans="1:6">
      <c r="A180" s="14"/>
      <c r="B180" s="14" t="s">
        <v>61</v>
      </c>
      <c r="C180" s="14">
        <v>149</v>
      </c>
      <c r="D180" s="14" t="s">
        <v>204</v>
      </c>
      <c r="E180" s="14">
        <v>0</v>
      </c>
      <c r="F180" s="14">
        <v>0</v>
      </c>
    </row>
    <row r="181" spans="1:6">
      <c r="A181" s="14"/>
      <c r="B181" s="14" t="s">
        <v>61</v>
      </c>
      <c r="C181" s="14">
        <v>150</v>
      </c>
      <c r="D181" s="14" t="s">
        <v>205</v>
      </c>
      <c r="E181" s="14">
        <v>0</v>
      </c>
      <c r="F181" s="14">
        <v>0</v>
      </c>
    </row>
    <row r="182" spans="1:6">
      <c r="A182" s="14"/>
      <c r="B182" s="14" t="s">
        <v>61</v>
      </c>
      <c r="C182" s="14">
        <v>151</v>
      </c>
      <c r="D182" s="14" t="s">
        <v>206</v>
      </c>
      <c r="E182" s="14">
        <v>0</v>
      </c>
      <c r="F182" s="14">
        <v>0</v>
      </c>
    </row>
    <row r="183" spans="1:6">
      <c r="A183" s="14"/>
      <c r="B183" s="14" t="s">
        <v>61</v>
      </c>
      <c r="C183" s="14">
        <v>152</v>
      </c>
      <c r="D183" s="14" t="s">
        <v>207</v>
      </c>
      <c r="E183" s="14">
        <v>0</v>
      </c>
      <c r="F183" s="14">
        <v>0</v>
      </c>
    </row>
    <row r="184" spans="1:6">
      <c r="A184" s="14"/>
      <c r="B184" s="14" t="s">
        <v>61</v>
      </c>
      <c r="C184" s="14">
        <v>153</v>
      </c>
      <c r="D184" s="14" t="s">
        <v>208</v>
      </c>
      <c r="E184" s="14">
        <v>0</v>
      </c>
      <c r="F184" s="14">
        <v>0</v>
      </c>
    </row>
    <row r="185" spans="1:6">
      <c r="A185" s="14"/>
      <c r="B185" s="14" t="s">
        <v>61</v>
      </c>
      <c r="C185" s="14">
        <v>154</v>
      </c>
      <c r="D185" s="14" t="s">
        <v>209</v>
      </c>
      <c r="E185" s="14">
        <v>0</v>
      </c>
      <c r="F185" s="14">
        <v>0</v>
      </c>
    </row>
    <row r="186" spans="1:6">
      <c r="A186" s="14"/>
      <c r="B186" s="14" t="s">
        <v>61</v>
      </c>
      <c r="C186" s="14">
        <v>155</v>
      </c>
      <c r="D186" s="14" t="s">
        <v>210</v>
      </c>
      <c r="E186" s="14">
        <v>0</v>
      </c>
      <c r="F186" s="14">
        <v>0</v>
      </c>
    </row>
    <row r="187" spans="1:6">
      <c r="A187" s="14"/>
      <c r="B187" s="14" t="s">
        <v>61</v>
      </c>
      <c r="C187" s="14">
        <v>156</v>
      </c>
      <c r="D187" s="14" t="s">
        <v>211</v>
      </c>
      <c r="E187" s="14">
        <v>0</v>
      </c>
      <c r="F187" s="14">
        <v>0</v>
      </c>
    </row>
    <row r="188" spans="1:6">
      <c r="A188" s="14"/>
      <c r="B188" s="14" t="s">
        <v>61</v>
      </c>
      <c r="C188" s="14">
        <v>157</v>
      </c>
      <c r="D188" s="14" t="s">
        <v>212</v>
      </c>
      <c r="E188" s="14">
        <v>0</v>
      </c>
      <c r="F188" s="14">
        <v>0</v>
      </c>
    </row>
    <row r="189" spans="1:6">
      <c r="A189" s="14"/>
      <c r="B189" s="14" t="s">
        <v>61</v>
      </c>
      <c r="C189" s="14">
        <v>158</v>
      </c>
      <c r="D189" s="14" t="s">
        <v>213</v>
      </c>
      <c r="E189" s="14">
        <v>0</v>
      </c>
      <c r="F189" s="14">
        <v>0</v>
      </c>
    </row>
    <row r="190" spans="1:6">
      <c r="A190" s="14"/>
      <c r="B190" s="14" t="s">
        <v>61</v>
      </c>
      <c r="C190" s="14">
        <v>159</v>
      </c>
      <c r="D190" s="14" t="s">
        <v>214</v>
      </c>
      <c r="E190" s="14">
        <v>0</v>
      </c>
      <c r="F190" s="14">
        <v>0</v>
      </c>
    </row>
    <row r="191" spans="1:6">
      <c r="A191" s="14"/>
      <c r="B191" s="14" t="s">
        <v>61</v>
      </c>
      <c r="C191" s="14">
        <v>160</v>
      </c>
      <c r="D191" s="14" t="s">
        <v>215</v>
      </c>
      <c r="E191" s="14">
        <v>0</v>
      </c>
      <c r="F191" s="14">
        <v>0</v>
      </c>
    </row>
    <row r="192" spans="1:6">
      <c r="A192" s="14"/>
      <c r="B192" s="14" t="s">
        <v>61</v>
      </c>
      <c r="C192" s="14">
        <v>161</v>
      </c>
      <c r="D192" s="14" t="s">
        <v>216</v>
      </c>
      <c r="E192" s="14">
        <v>0</v>
      </c>
      <c r="F192" s="14">
        <v>0</v>
      </c>
    </row>
    <row r="193" spans="1:6">
      <c r="A193" s="14"/>
      <c r="B193" s="14" t="s">
        <v>61</v>
      </c>
      <c r="C193" s="14">
        <v>162</v>
      </c>
      <c r="D193" s="14" t="s">
        <v>217</v>
      </c>
      <c r="E193" s="14">
        <v>0</v>
      </c>
      <c r="F193" s="14">
        <v>0</v>
      </c>
    </row>
    <row r="194" spans="1:6">
      <c r="A194" s="14"/>
      <c r="B194" s="14" t="s">
        <v>61</v>
      </c>
      <c r="C194" s="14">
        <v>163</v>
      </c>
      <c r="D194" s="14" t="s">
        <v>218</v>
      </c>
      <c r="E194" s="14">
        <v>0</v>
      </c>
      <c r="F194" s="14">
        <v>0</v>
      </c>
    </row>
    <row r="195" spans="1:6">
      <c r="A195" s="14"/>
      <c r="B195" s="14" t="s">
        <v>61</v>
      </c>
      <c r="C195" s="14">
        <v>164</v>
      </c>
      <c r="D195" s="14" t="s">
        <v>219</v>
      </c>
      <c r="E195" s="14">
        <v>0</v>
      </c>
      <c r="F195" s="14">
        <v>0</v>
      </c>
    </row>
    <row r="196" spans="1:6">
      <c r="A196" s="14"/>
      <c r="B196" s="14" t="s">
        <v>61</v>
      </c>
      <c r="C196" s="14">
        <v>165</v>
      </c>
      <c r="D196" s="14" t="s">
        <v>220</v>
      </c>
      <c r="E196" s="14">
        <v>0</v>
      </c>
      <c r="F196" s="14">
        <v>0</v>
      </c>
    </row>
    <row r="197" spans="1:6">
      <c r="A197" s="14"/>
      <c r="B197" s="14" t="s">
        <v>61</v>
      </c>
      <c r="C197" s="14">
        <v>166</v>
      </c>
      <c r="D197" s="14" t="s">
        <v>221</v>
      </c>
      <c r="E197" s="14">
        <v>0</v>
      </c>
      <c r="F197" s="14">
        <v>0</v>
      </c>
    </row>
    <row r="198" spans="1:6">
      <c r="A198" s="14"/>
      <c r="B198" s="14" t="s">
        <v>61</v>
      </c>
      <c r="C198" s="14">
        <v>167</v>
      </c>
      <c r="D198" s="14" t="s">
        <v>222</v>
      </c>
      <c r="E198" s="14">
        <v>0</v>
      </c>
      <c r="F198" s="14">
        <v>0</v>
      </c>
    </row>
    <row r="199" spans="1:6">
      <c r="A199" s="14"/>
      <c r="B199" s="14" t="s">
        <v>61</v>
      </c>
      <c r="C199" s="14">
        <v>168</v>
      </c>
      <c r="D199" s="14" t="s">
        <v>223</v>
      </c>
      <c r="E199" s="14">
        <v>0</v>
      </c>
      <c r="F199" s="14">
        <v>0</v>
      </c>
    </row>
    <row r="200" spans="1:6">
      <c r="A200" s="14"/>
      <c r="B200" s="14" t="s">
        <v>61</v>
      </c>
      <c r="C200" s="14">
        <v>169</v>
      </c>
      <c r="D200" s="14" t="s">
        <v>224</v>
      </c>
      <c r="E200" s="14">
        <v>0</v>
      </c>
      <c r="F200" s="14">
        <v>0</v>
      </c>
    </row>
    <row r="201" spans="1:6">
      <c r="A201" s="14"/>
      <c r="B201" s="14" t="s">
        <v>61</v>
      </c>
      <c r="C201" s="14">
        <v>170</v>
      </c>
      <c r="D201" s="14" t="s">
        <v>225</v>
      </c>
      <c r="E201" s="14">
        <v>0</v>
      </c>
      <c r="F201" s="14">
        <v>0</v>
      </c>
    </row>
    <row r="202" spans="1:6">
      <c r="A202" s="14"/>
      <c r="B202" s="14" t="s">
        <v>61</v>
      </c>
      <c r="C202" s="14">
        <v>171</v>
      </c>
      <c r="D202" s="14" t="s">
        <v>226</v>
      </c>
      <c r="E202" s="14">
        <v>0</v>
      </c>
      <c r="F202" s="14">
        <v>0</v>
      </c>
    </row>
    <row r="203" spans="1:6">
      <c r="A203" s="14"/>
      <c r="B203" s="14" t="s">
        <v>61</v>
      </c>
      <c r="C203" s="14">
        <v>172</v>
      </c>
      <c r="D203" s="14" t="s">
        <v>227</v>
      </c>
      <c r="E203" s="14">
        <v>0</v>
      </c>
      <c r="F203" s="14">
        <v>0</v>
      </c>
    </row>
    <row r="204" spans="1:6">
      <c r="A204" s="14"/>
      <c r="B204" s="14" t="s">
        <v>61</v>
      </c>
      <c r="C204" s="14">
        <v>173</v>
      </c>
      <c r="D204" s="14" t="s">
        <v>228</v>
      </c>
      <c r="E204" s="14">
        <v>0</v>
      </c>
      <c r="F204" s="14">
        <v>0</v>
      </c>
    </row>
    <row r="205" spans="1:6">
      <c r="A205" s="14"/>
      <c r="B205" s="14" t="s">
        <v>61</v>
      </c>
      <c r="C205" s="14">
        <v>174</v>
      </c>
      <c r="D205" s="14" t="s">
        <v>229</v>
      </c>
      <c r="E205" s="14">
        <v>0</v>
      </c>
      <c r="F205" s="14">
        <v>0</v>
      </c>
    </row>
    <row r="206" spans="1:6">
      <c r="A206" s="14"/>
      <c r="B206" s="14" t="s">
        <v>61</v>
      </c>
      <c r="C206" s="14">
        <v>175</v>
      </c>
      <c r="D206" s="14" t="s">
        <v>230</v>
      </c>
      <c r="E206" s="14">
        <v>0</v>
      </c>
      <c r="F206" s="14">
        <v>0</v>
      </c>
    </row>
    <row r="207" spans="1:6">
      <c r="A207" s="14"/>
      <c r="B207" s="14" t="s">
        <v>61</v>
      </c>
      <c r="C207" s="14">
        <v>176</v>
      </c>
      <c r="D207" s="14" t="s">
        <v>231</v>
      </c>
      <c r="E207" s="14">
        <v>0</v>
      </c>
      <c r="F207" s="14">
        <v>0</v>
      </c>
    </row>
    <row r="208" spans="1:6">
      <c r="A208" s="14"/>
      <c r="B208" s="14" t="s">
        <v>61</v>
      </c>
      <c r="C208" s="14">
        <v>177</v>
      </c>
      <c r="D208" s="14" t="s">
        <v>232</v>
      </c>
      <c r="E208" s="14">
        <v>0</v>
      </c>
      <c r="F208" s="14">
        <v>0</v>
      </c>
    </row>
    <row r="209" spans="1:6">
      <c r="A209" s="14"/>
      <c r="B209" s="14" t="s">
        <v>61</v>
      </c>
      <c r="C209" s="14">
        <v>178</v>
      </c>
      <c r="D209" s="14" t="s">
        <v>233</v>
      </c>
      <c r="E209" s="14">
        <v>0</v>
      </c>
      <c r="F209" s="14">
        <v>0</v>
      </c>
    </row>
    <row r="210" spans="1:6">
      <c r="A210" s="14"/>
      <c r="B210" s="14" t="s">
        <v>61</v>
      </c>
      <c r="C210" s="14">
        <v>179</v>
      </c>
      <c r="D210" s="14" t="s">
        <v>234</v>
      </c>
      <c r="E210" s="14">
        <v>0</v>
      </c>
      <c r="F210" s="14">
        <v>0</v>
      </c>
    </row>
    <row r="211" spans="1:6">
      <c r="A211" s="14"/>
      <c r="B211" s="14" t="s">
        <v>61</v>
      </c>
      <c r="C211" s="14">
        <v>180</v>
      </c>
      <c r="D211" s="14" t="s">
        <v>235</v>
      </c>
      <c r="E211" s="14">
        <v>0</v>
      </c>
      <c r="F211" s="14">
        <v>0</v>
      </c>
    </row>
    <row r="212" spans="1:6">
      <c r="A212" s="14"/>
      <c r="B212" s="14" t="s">
        <v>61</v>
      </c>
      <c r="C212" s="14">
        <v>181</v>
      </c>
      <c r="D212" s="14" t="s">
        <v>236</v>
      </c>
      <c r="E212" s="14">
        <v>0</v>
      </c>
      <c r="F212" s="14">
        <v>0</v>
      </c>
    </row>
    <row r="213" spans="1:6">
      <c r="A213" s="14"/>
      <c r="B213" s="14" t="s">
        <v>61</v>
      </c>
      <c r="C213" s="14">
        <v>182</v>
      </c>
      <c r="D213" s="14" t="s">
        <v>237</v>
      </c>
      <c r="E213" s="14">
        <v>0</v>
      </c>
      <c r="F213" s="14">
        <v>0</v>
      </c>
    </row>
    <row r="214" spans="1:6">
      <c r="A214" s="14"/>
      <c r="B214" s="14" t="s">
        <v>61</v>
      </c>
      <c r="C214" s="14">
        <v>183</v>
      </c>
      <c r="D214" s="14" t="s">
        <v>238</v>
      </c>
      <c r="E214" s="14">
        <v>0</v>
      </c>
      <c r="F214" s="14">
        <v>0</v>
      </c>
    </row>
    <row r="215" spans="1:6">
      <c r="A215" s="14"/>
      <c r="B215" s="14" t="s">
        <v>61</v>
      </c>
      <c r="C215" s="14">
        <v>184</v>
      </c>
      <c r="D215" s="14" t="s">
        <v>239</v>
      </c>
      <c r="E215" s="14">
        <v>0</v>
      </c>
      <c r="F215" s="14">
        <v>0</v>
      </c>
    </row>
    <row r="216" spans="1:6">
      <c r="A216" s="14"/>
      <c r="B216" s="14" t="s">
        <v>61</v>
      </c>
      <c r="C216" s="14">
        <v>185</v>
      </c>
      <c r="D216" s="14" t="s">
        <v>240</v>
      </c>
      <c r="E216" s="14">
        <v>0</v>
      </c>
      <c r="F216" s="14">
        <v>0</v>
      </c>
    </row>
    <row r="217" spans="1:6">
      <c r="A217" s="14"/>
      <c r="B217" s="14" t="s">
        <v>61</v>
      </c>
      <c r="C217" s="14">
        <v>186</v>
      </c>
      <c r="D217" s="14" t="s">
        <v>241</v>
      </c>
      <c r="E217" s="14">
        <v>0</v>
      </c>
      <c r="F217" s="14">
        <v>0</v>
      </c>
    </row>
    <row r="218" spans="1:6">
      <c r="A218" s="14"/>
      <c r="B218" s="14" t="s">
        <v>61</v>
      </c>
      <c r="C218" s="14">
        <v>187</v>
      </c>
      <c r="D218" s="14" t="s">
        <v>242</v>
      </c>
      <c r="E218" s="14">
        <v>0</v>
      </c>
      <c r="F218" s="14">
        <v>0</v>
      </c>
    </row>
    <row r="219" spans="1:6">
      <c r="A219" s="14"/>
      <c r="B219" s="14" t="s">
        <v>61</v>
      </c>
      <c r="C219" s="14">
        <v>188</v>
      </c>
      <c r="D219" s="14" t="s">
        <v>243</v>
      </c>
      <c r="E219" s="14">
        <v>0</v>
      </c>
      <c r="F219" s="14">
        <v>0</v>
      </c>
    </row>
    <row r="220" spans="1:6">
      <c r="A220" s="14"/>
      <c r="B220" s="14" t="s">
        <v>61</v>
      </c>
      <c r="C220" s="14">
        <v>189</v>
      </c>
      <c r="D220" s="14" t="s">
        <v>244</v>
      </c>
      <c r="E220" s="14">
        <v>0</v>
      </c>
      <c r="F220" s="14">
        <v>0</v>
      </c>
    </row>
    <row r="221" spans="1:6">
      <c r="A221" s="14"/>
      <c r="B221" s="14" t="s">
        <v>61</v>
      </c>
      <c r="C221" s="14">
        <v>190</v>
      </c>
      <c r="D221" s="14" t="s">
        <v>245</v>
      </c>
      <c r="E221" s="14">
        <v>0</v>
      </c>
      <c r="F221" s="14">
        <v>0</v>
      </c>
    </row>
    <row r="222" spans="1:6">
      <c r="A222" s="14"/>
      <c r="B222" s="14" t="s">
        <v>61</v>
      </c>
      <c r="C222" s="14">
        <v>191</v>
      </c>
      <c r="D222" s="14" t="s">
        <v>246</v>
      </c>
      <c r="E222" s="14">
        <v>0</v>
      </c>
      <c r="F222" s="14">
        <v>0</v>
      </c>
    </row>
    <row r="223" spans="1:6">
      <c r="A223" s="14"/>
      <c r="B223" s="14" t="s">
        <v>61</v>
      </c>
      <c r="C223" s="14">
        <v>192</v>
      </c>
      <c r="D223" s="14" t="s">
        <v>247</v>
      </c>
      <c r="E223" s="14">
        <v>0</v>
      </c>
      <c r="F223" s="14">
        <v>0</v>
      </c>
    </row>
    <row r="224" spans="1:6">
      <c r="A224" s="14"/>
      <c r="B224" s="14" t="s">
        <v>61</v>
      </c>
      <c r="C224" s="14">
        <v>193</v>
      </c>
      <c r="D224" s="14" t="s">
        <v>248</v>
      </c>
      <c r="E224" s="14">
        <v>0</v>
      </c>
      <c r="F224" s="14">
        <v>0</v>
      </c>
    </row>
    <row r="225" spans="1:6">
      <c r="A225" s="14"/>
      <c r="B225" s="14" t="s">
        <v>61</v>
      </c>
      <c r="C225" s="14">
        <v>194</v>
      </c>
      <c r="D225" s="14" t="s">
        <v>249</v>
      </c>
      <c r="E225" s="14">
        <v>0</v>
      </c>
      <c r="F225" s="14">
        <v>0</v>
      </c>
    </row>
    <row r="226" spans="1:6">
      <c r="A226" s="14"/>
      <c r="B226" s="14" t="s">
        <v>61</v>
      </c>
      <c r="C226" s="14">
        <v>195</v>
      </c>
      <c r="D226" s="14" t="s">
        <v>250</v>
      </c>
      <c r="E226" s="14">
        <v>0</v>
      </c>
      <c r="F226" s="14">
        <v>0</v>
      </c>
    </row>
    <row r="227" spans="1:6">
      <c r="A227" s="14"/>
      <c r="B227" s="14" t="s">
        <v>61</v>
      </c>
      <c r="C227" s="14">
        <v>196</v>
      </c>
      <c r="D227" s="14" t="s">
        <v>251</v>
      </c>
      <c r="E227" s="14">
        <v>0</v>
      </c>
      <c r="F227" s="14">
        <v>0</v>
      </c>
    </row>
    <row r="228" spans="1:6">
      <c r="A228" s="14"/>
      <c r="B228" s="14" t="s">
        <v>61</v>
      </c>
      <c r="C228" s="14">
        <v>197</v>
      </c>
      <c r="D228" s="14" t="s">
        <v>252</v>
      </c>
      <c r="E228" s="14">
        <v>0</v>
      </c>
      <c r="F228" s="14">
        <v>0</v>
      </c>
    </row>
    <row r="229" spans="1:6">
      <c r="A229" s="14"/>
      <c r="B229" s="14" t="s">
        <v>61</v>
      </c>
      <c r="C229" s="14">
        <v>198</v>
      </c>
      <c r="D229" s="14" t="s">
        <v>253</v>
      </c>
      <c r="E229" s="14">
        <v>0</v>
      </c>
      <c r="F229" s="14">
        <v>0</v>
      </c>
    </row>
    <row r="230" spans="1:6">
      <c r="A230" s="14"/>
      <c r="B230" s="14" t="s">
        <v>61</v>
      </c>
      <c r="C230" s="14">
        <v>199</v>
      </c>
      <c r="D230" s="14" t="s">
        <v>254</v>
      </c>
      <c r="E230" s="14">
        <v>0</v>
      </c>
      <c r="F230" s="14">
        <v>0</v>
      </c>
    </row>
    <row r="231" spans="1:6">
      <c r="A231" s="14"/>
      <c r="B231" s="14" t="s">
        <v>61</v>
      </c>
      <c r="C231" s="14">
        <v>200</v>
      </c>
      <c r="D231" s="14" t="s">
        <v>255</v>
      </c>
      <c r="E231" s="14">
        <v>0</v>
      </c>
      <c r="F231" s="14">
        <v>0</v>
      </c>
    </row>
    <row r="232" spans="1:6">
      <c r="A232" s="14"/>
      <c r="B232" s="14" t="s">
        <v>61</v>
      </c>
      <c r="C232" s="14">
        <v>201</v>
      </c>
      <c r="D232" s="14" t="s">
        <v>256</v>
      </c>
      <c r="E232" s="14">
        <v>0</v>
      </c>
      <c r="F232" s="14">
        <v>0</v>
      </c>
    </row>
    <row r="233" spans="1:6">
      <c r="A233" s="14"/>
      <c r="B233" s="14" t="s">
        <v>61</v>
      </c>
      <c r="C233" s="14">
        <v>202</v>
      </c>
      <c r="D233" s="14" t="s">
        <v>257</v>
      </c>
      <c r="E233" s="14">
        <v>0</v>
      </c>
      <c r="F233" s="14">
        <v>0</v>
      </c>
    </row>
    <row r="234" spans="1:6">
      <c r="A234" s="14"/>
      <c r="B234" s="14" t="s">
        <v>61</v>
      </c>
      <c r="C234" s="14">
        <v>203</v>
      </c>
      <c r="D234" s="14" t="s">
        <v>258</v>
      </c>
      <c r="E234" s="14">
        <v>0</v>
      </c>
      <c r="F234" s="14">
        <v>0</v>
      </c>
    </row>
    <row r="235" spans="1:6">
      <c r="A235" s="14"/>
      <c r="B235" s="14" t="s">
        <v>61</v>
      </c>
      <c r="C235" s="14">
        <v>204</v>
      </c>
      <c r="D235" s="14" t="s">
        <v>259</v>
      </c>
      <c r="E235" s="14">
        <v>0</v>
      </c>
      <c r="F235" s="14">
        <v>0</v>
      </c>
    </row>
    <row r="236" spans="1:6">
      <c r="A236" s="14"/>
      <c r="B236" s="14" t="s">
        <v>61</v>
      </c>
      <c r="C236" s="14">
        <v>205</v>
      </c>
      <c r="D236" s="14" t="s">
        <v>260</v>
      </c>
      <c r="E236" s="14">
        <v>0</v>
      </c>
      <c r="F236" s="14">
        <v>0</v>
      </c>
    </row>
    <row r="237" spans="1:6">
      <c r="A237" s="14"/>
      <c r="B237" s="14" t="s">
        <v>61</v>
      </c>
      <c r="C237" s="14">
        <v>206</v>
      </c>
      <c r="D237" s="14" t="s">
        <v>261</v>
      </c>
      <c r="E237" s="14">
        <v>0</v>
      </c>
      <c r="F237" s="14">
        <v>0</v>
      </c>
    </row>
    <row r="238" spans="1:6">
      <c r="A238" s="14"/>
      <c r="B238" s="14" t="s">
        <v>61</v>
      </c>
      <c r="C238" s="14">
        <v>207</v>
      </c>
      <c r="D238" s="14" t="s">
        <v>262</v>
      </c>
      <c r="E238" s="14">
        <v>0</v>
      </c>
      <c r="F238" s="14">
        <v>0</v>
      </c>
    </row>
    <row r="239" spans="1:6">
      <c r="A239" s="14"/>
      <c r="B239" s="14" t="s">
        <v>61</v>
      </c>
      <c r="C239" s="14">
        <v>208</v>
      </c>
      <c r="D239" s="14" t="s">
        <v>263</v>
      </c>
      <c r="E239" s="14">
        <v>0</v>
      </c>
      <c r="F239" s="14">
        <v>0</v>
      </c>
    </row>
    <row r="240" spans="1:6">
      <c r="A240" s="14"/>
      <c r="B240" s="14" t="s">
        <v>61</v>
      </c>
      <c r="C240" s="14">
        <v>209</v>
      </c>
      <c r="D240" s="14" t="s">
        <v>264</v>
      </c>
      <c r="E240" s="14">
        <v>0</v>
      </c>
      <c r="F240" s="14">
        <v>0</v>
      </c>
    </row>
    <row r="241" spans="1:6">
      <c r="A241" s="14"/>
      <c r="B241" s="14" t="s">
        <v>61</v>
      </c>
      <c r="C241" s="14">
        <v>210</v>
      </c>
      <c r="D241" s="14" t="s">
        <v>265</v>
      </c>
      <c r="E241" s="14">
        <v>0</v>
      </c>
      <c r="F241" s="14">
        <v>0</v>
      </c>
    </row>
    <row r="242" spans="1:6">
      <c r="A242" s="14"/>
      <c r="B242" s="14" t="s">
        <v>61</v>
      </c>
      <c r="C242" s="14">
        <v>211</v>
      </c>
      <c r="D242" s="14" t="s">
        <v>266</v>
      </c>
      <c r="E242" s="14">
        <v>0</v>
      </c>
      <c r="F242" s="14">
        <v>0</v>
      </c>
    </row>
    <row r="243" spans="1:6">
      <c r="A243" s="14"/>
      <c r="B243" s="14" t="s">
        <v>61</v>
      </c>
      <c r="C243" s="14">
        <v>212</v>
      </c>
      <c r="D243" s="14" t="s">
        <v>267</v>
      </c>
      <c r="E243" s="14">
        <v>0</v>
      </c>
      <c r="F243" s="14">
        <v>0</v>
      </c>
    </row>
    <row r="244" spans="1:6">
      <c r="A244" s="14"/>
      <c r="B244" s="14" t="s">
        <v>61</v>
      </c>
      <c r="C244" s="14">
        <v>213</v>
      </c>
      <c r="D244" s="14" t="s">
        <v>268</v>
      </c>
      <c r="E244" s="14">
        <v>0</v>
      </c>
      <c r="F244" s="14">
        <v>0</v>
      </c>
    </row>
    <row r="245" spans="1:6">
      <c r="A245" s="14"/>
      <c r="B245" s="14" t="s">
        <v>61</v>
      </c>
      <c r="C245" s="14">
        <v>214</v>
      </c>
      <c r="D245" s="14" t="s">
        <v>269</v>
      </c>
      <c r="E245" s="14">
        <v>0</v>
      </c>
      <c r="F245" s="14">
        <v>0</v>
      </c>
    </row>
    <row r="246" spans="1:6">
      <c r="A246" s="14"/>
      <c r="B246" s="14" t="s">
        <v>61</v>
      </c>
      <c r="C246" s="14">
        <v>215</v>
      </c>
      <c r="D246" s="14" t="s">
        <v>270</v>
      </c>
      <c r="E246" s="14">
        <v>0</v>
      </c>
      <c r="F246" s="14">
        <v>0</v>
      </c>
    </row>
    <row r="247" spans="1:6">
      <c r="A247" s="14"/>
      <c r="B247" s="14" t="s">
        <v>61</v>
      </c>
      <c r="C247" s="14">
        <v>216</v>
      </c>
      <c r="D247" s="14" t="s">
        <v>271</v>
      </c>
      <c r="E247" s="14">
        <v>0</v>
      </c>
      <c r="F247" s="14">
        <v>0</v>
      </c>
    </row>
    <row r="248" spans="1:6">
      <c r="A248" s="14"/>
      <c r="B248" s="14" t="s">
        <v>61</v>
      </c>
      <c r="C248" s="14">
        <v>217</v>
      </c>
      <c r="D248" s="14" t="s">
        <v>272</v>
      </c>
      <c r="E248" s="14">
        <v>0</v>
      </c>
      <c r="F248" s="14">
        <v>0</v>
      </c>
    </row>
    <row r="249" spans="1:6">
      <c r="A249" s="14"/>
      <c r="B249" s="14" t="s">
        <v>61</v>
      </c>
      <c r="C249" s="14">
        <v>218</v>
      </c>
      <c r="D249" s="14" t="s">
        <v>273</v>
      </c>
      <c r="E249" s="14">
        <v>0</v>
      </c>
      <c r="F249" s="14">
        <v>0</v>
      </c>
    </row>
    <row r="250" spans="1:6">
      <c r="A250" s="14"/>
      <c r="B250" s="14" t="s">
        <v>61</v>
      </c>
      <c r="C250" s="14">
        <v>219</v>
      </c>
      <c r="D250" s="14" t="s">
        <v>274</v>
      </c>
      <c r="E250" s="14">
        <v>0</v>
      </c>
      <c r="F250" s="14">
        <v>0</v>
      </c>
    </row>
    <row r="251" spans="1:6">
      <c r="A251" s="14"/>
      <c r="B251" s="14" t="s">
        <v>61</v>
      </c>
      <c r="C251" s="14">
        <v>220</v>
      </c>
      <c r="D251" s="14" t="s">
        <v>275</v>
      </c>
      <c r="E251" s="14">
        <v>0</v>
      </c>
      <c r="F251" s="14">
        <v>0</v>
      </c>
    </row>
    <row r="252" spans="1:6">
      <c r="A252" s="14"/>
      <c r="B252" s="14" t="s">
        <v>61</v>
      </c>
      <c r="C252" s="14">
        <v>221</v>
      </c>
      <c r="D252" s="14" t="s">
        <v>276</v>
      </c>
      <c r="E252" s="14">
        <v>0</v>
      </c>
      <c r="F252" s="14">
        <v>0</v>
      </c>
    </row>
    <row r="253" spans="1:6">
      <c r="A253" s="14"/>
      <c r="B253" s="14" t="s">
        <v>61</v>
      </c>
      <c r="C253" s="14">
        <v>222</v>
      </c>
      <c r="D253" s="14" t="s">
        <v>277</v>
      </c>
      <c r="E253" s="14">
        <v>0</v>
      </c>
      <c r="F253" s="14">
        <v>0</v>
      </c>
    </row>
    <row r="254" spans="1:6">
      <c r="B254" s="14" t="s">
        <v>61</v>
      </c>
      <c r="C254" s="14">
        <v>223</v>
      </c>
      <c r="D254" s="14" t="s">
        <v>286</v>
      </c>
      <c r="E254" s="14">
        <v>0</v>
      </c>
      <c r="F254" s="14">
        <v>0</v>
      </c>
    </row>
    <row r="255" spans="1:6">
      <c r="B255" s="14" t="s">
        <v>61</v>
      </c>
      <c r="C255" s="14">
        <v>224</v>
      </c>
      <c r="D255" s="14" t="s">
        <v>278</v>
      </c>
      <c r="E255" s="14">
        <v>0</v>
      </c>
      <c r="F255" s="14">
        <v>0</v>
      </c>
    </row>
    <row r="256" spans="1:6">
      <c r="B256" s="14" t="s">
        <v>61</v>
      </c>
      <c r="C256" s="14">
        <v>225</v>
      </c>
      <c r="D256" s="14" t="s">
        <v>279</v>
      </c>
      <c r="E256" s="14">
        <v>0</v>
      </c>
      <c r="F256" s="14">
        <v>0</v>
      </c>
    </row>
    <row r="257" spans="2:6">
      <c r="B257" s="14" t="s">
        <v>61</v>
      </c>
      <c r="C257" s="14">
        <v>226</v>
      </c>
      <c r="D257" s="14" t="s">
        <v>280</v>
      </c>
      <c r="E257" s="14">
        <v>0</v>
      </c>
      <c r="F257" s="14">
        <v>0</v>
      </c>
    </row>
    <row r="258" spans="2:6">
      <c r="B258" s="14" t="s">
        <v>61</v>
      </c>
      <c r="C258" s="14">
        <v>227</v>
      </c>
      <c r="D258" s="14" t="s">
        <v>281</v>
      </c>
      <c r="E258" s="14">
        <v>0</v>
      </c>
      <c r="F258" s="14">
        <v>0</v>
      </c>
    </row>
    <row r="259" spans="2:6">
      <c r="B259" s="14" t="s">
        <v>61</v>
      </c>
      <c r="C259" s="14">
        <v>228</v>
      </c>
      <c r="D259" s="14" t="s">
        <v>289</v>
      </c>
      <c r="E259" s="14">
        <v>0</v>
      </c>
      <c r="F259" s="14">
        <v>0</v>
      </c>
    </row>
    <row r="260" spans="2:6">
      <c r="B260" s="14" t="s">
        <v>61</v>
      </c>
      <c r="C260" s="14">
        <v>229</v>
      </c>
      <c r="D260" s="14" t="s">
        <v>290</v>
      </c>
      <c r="E260" s="14">
        <v>0</v>
      </c>
      <c r="F260" s="14">
        <v>0</v>
      </c>
    </row>
    <row r="261" spans="2:6">
      <c r="B261" s="14" t="s">
        <v>61</v>
      </c>
      <c r="C261" s="14">
        <v>230</v>
      </c>
      <c r="D261" s="14" t="s">
        <v>291</v>
      </c>
      <c r="E261" s="14">
        <v>0</v>
      </c>
      <c r="F261" s="14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F1:O14"/>
  <sheetViews>
    <sheetView workbookViewId="0">
      <selection activeCell="H7" sqref="H7:M8"/>
    </sheetView>
  </sheetViews>
  <sheetFormatPr defaultRowHeight="15"/>
  <cols>
    <col min="2" max="2" width="12.140625" bestFit="1" customWidth="1"/>
    <col min="3" max="3" width="10.140625" bestFit="1" customWidth="1"/>
    <col min="5" max="5" width="12.28515625" bestFit="1" customWidth="1"/>
    <col min="6" max="6" width="18.28515625" bestFit="1" customWidth="1"/>
    <col min="7" max="7" width="10.5703125" bestFit="1" customWidth="1"/>
    <col min="8" max="8" width="12.7109375" customWidth="1"/>
    <col min="9" max="9" width="9.42578125" bestFit="1" customWidth="1"/>
    <col min="11" max="11" width="13.7109375" bestFit="1" customWidth="1"/>
    <col min="12" max="12" width="9.85546875" bestFit="1" customWidth="1"/>
    <col min="13" max="13" width="11.7109375" customWidth="1"/>
    <col min="14" max="14" width="23.42578125" bestFit="1" customWidth="1"/>
    <col min="15" max="15" width="10.28515625" bestFit="1" customWidth="1"/>
  </cols>
  <sheetData>
    <row r="1" spans="6:15" ht="17.25" customHeight="1">
      <c r="H1" s="78" t="s">
        <v>284</v>
      </c>
      <c r="I1" s="78"/>
      <c r="J1" s="78"/>
      <c r="K1" s="78"/>
      <c r="L1" s="78"/>
      <c r="M1" s="78"/>
    </row>
    <row r="2" spans="6:15" ht="17.25">
      <c r="F2" s="51"/>
      <c r="G2" s="51"/>
      <c r="H2" s="79" t="s">
        <v>283</v>
      </c>
      <c r="I2" s="79"/>
      <c r="J2" s="79"/>
      <c r="K2" s="79" t="s">
        <v>282</v>
      </c>
      <c r="L2" s="79"/>
      <c r="M2" s="79"/>
    </row>
    <row r="3" spans="6:15" ht="14.25" customHeight="1">
      <c r="F3" s="51"/>
      <c r="G3" s="51"/>
      <c r="H3" s="83">
        <v>43992.877569444441</v>
      </c>
      <c r="I3" s="84"/>
      <c r="J3" s="84"/>
      <c r="K3" s="85">
        <v>0.87756944444444451</v>
      </c>
      <c r="L3" s="84"/>
      <c r="M3" s="84"/>
    </row>
    <row r="4" spans="6:15" ht="14.25" customHeight="1">
      <c r="F4" s="51"/>
      <c r="G4" s="51"/>
      <c r="H4" s="84"/>
      <c r="I4" s="84"/>
      <c r="J4" s="84"/>
      <c r="K4" s="84"/>
      <c r="L4" s="84"/>
      <c r="M4" s="84"/>
      <c r="N4" s="53"/>
      <c r="O4" s="52"/>
    </row>
    <row r="5" spans="6:15" ht="17.25" customHeight="1">
      <c r="F5" s="51"/>
      <c r="G5" s="51"/>
      <c r="H5" s="80"/>
      <c r="I5" s="80"/>
      <c r="J5" s="80"/>
      <c r="K5" s="81"/>
      <c r="L5" s="82"/>
      <c r="M5" s="82"/>
    </row>
    <row r="6" spans="6:15" ht="17.25" customHeight="1">
      <c r="H6" s="80"/>
      <c r="I6" s="80"/>
      <c r="J6" s="80"/>
      <c r="K6" s="82"/>
      <c r="L6" s="82"/>
      <c r="M6" s="82"/>
    </row>
    <row r="7" spans="6:15" ht="14.25" customHeight="1">
      <c r="H7" s="77">
        <v>43995.832951388889</v>
      </c>
      <c r="I7" s="77"/>
      <c r="J7" s="77"/>
      <c r="K7" s="77"/>
      <c r="L7" s="77"/>
      <c r="M7" s="77"/>
    </row>
    <row r="8" spans="6:15" ht="14.25" customHeight="1">
      <c r="H8" s="77"/>
      <c r="I8" s="77"/>
      <c r="J8" s="77"/>
      <c r="K8" s="77"/>
      <c r="L8" s="77"/>
      <c r="M8" s="77"/>
    </row>
    <row r="9" spans="6:15" ht="14.25" customHeight="1">
      <c r="H9" s="76" t="s">
        <v>285</v>
      </c>
      <c r="I9" s="76"/>
      <c r="J9" s="76"/>
      <c r="K9" s="76"/>
      <c r="L9" s="76"/>
      <c r="M9" s="76"/>
    </row>
    <row r="10" spans="6:15" ht="14.25" customHeight="1">
      <c r="H10" s="76"/>
      <c r="I10" s="76"/>
      <c r="J10" s="76"/>
      <c r="K10" s="76"/>
      <c r="L10" s="76"/>
      <c r="M10" s="76"/>
    </row>
    <row r="11" spans="6:15">
      <c r="H11" s="75" t="s">
        <v>292</v>
      </c>
      <c r="I11" s="75"/>
      <c r="J11" s="75"/>
      <c r="K11" s="75"/>
      <c r="L11" s="75"/>
      <c r="M11" s="75"/>
    </row>
    <row r="12" spans="6:15">
      <c r="H12" s="75"/>
      <c r="I12" s="75"/>
      <c r="J12" s="75"/>
      <c r="K12" s="75"/>
      <c r="L12" s="75"/>
      <c r="M12" s="75"/>
    </row>
    <row r="13" spans="6:15">
      <c r="J13" s="54"/>
    </row>
    <row r="14" spans="6:15">
      <c r="J14" s="54"/>
    </row>
  </sheetData>
  <mergeCells count="10">
    <mergeCell ref="H11:M12"/>
    <mergeCell ref="H9:M10"/>
    <mergeCell ref="H7:M8"/>
    <mergeCell ref="H1:M1"/>
    <mergeCell ref="H2:J2"/>
    <mergeCell ref="K2:M2"/>
    <mergeCell ref="H5:J6"/>
    <mergeCell ref="K5:M6"/>
    <mergeCell ref="H3:J4"/>
    <mergeCell ref="K3:M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USDT</vt:lpstr>
      <vt:lpstr>Profit</vt:lpstr>
      <vt:lpstr>GETPRICE</vt:lpstr>
      <vt:lpstr>Binance</vt:lpstr>
      <vt:lpstr>DATA</vt:lpstr>
      <vt:lpstr>apikey_binance</vt:lpstr>
      <vt:lpstr>secretkey_binance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111221</dc:creator>
  <cp:lastModifiedBy>Pczx</cp:lastModifiedBy>
  <dcterms:created xsi:type="dcterms:W3CDTF">2019-12-13T01:49:35Z</dcterms:created>
  <dcterms:modified xsi:type="dcterms:W3CDTF">2020-06-10T14:03:53Z</dcterms:modified>
  <cp:contentStatus/>
</cp:coreProperties>
</file>